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760"/>
  </bookViews>
  <sheets>
    <sheet name="Date-10-02-2026" sheetId="1" r:id="rId1"/>
    <sheet name="Plumbing Work" sheetId="2" r:id="rId2"/>
    <sheet name="Sheet3" sheetId="3" r:id="rId3"/>
  </sheets>
  <definedNames>
    <definedName name="_xlnm.Print_Area" localSheetId="0">'Date-10-02-2026'!$A$1:$L$114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7" i="1" l="1"/>
  <c r="I97" i="1"/>
  <c r="H97" i="1"/>
  <c r="G97" i="1"/>
  <c r="F97" i="1"/>
  <c r="H24" i="1" l="1"/>
  <c r="G24" i="1"/>
  <c r="F24" i="1"/>
  <c r="E24" i="1"/>
  <c r="D18" i="2" l="1"/>
  <c r="E18" i="2"/>
  <c r="F18" i="2"/>
  <c r="C18" i="2"/>
  <c r="I57" i="1"/>
  <c r="H57" i="1"/>
  <c r="G57" i="1"/>
  <c r="F57" i="1"/>
  <c r="E57" i="1"/>
  <c r="E39" i="1"/>
  <c r="I39" i="1"/>
  <c r="H39" i="1"/>
  <c r="G39" i="1"/>
  <c r="F39" i="1"/>
  <c r="H64" i="1"/>
  <c r="G64" i="1"/>
  <c r="F64" i="1"/>
  <c r="E64" i="1"/>
  <c r="H76" i="1"/>
  <c r="G76" i="1"/>
  <c r="F76" i="1"/>
  <c r="E76" i="1"/>
  <c r="I19" i="1"/>
  <c r="H19" i="1"/>
  <c r="G19" i="1"/>
  <c r="F19" i="1"/>
  <c r="E19" i="1"/>
  <c r="I8" i="1"/>
  <c r="H8" i="1"/>
  <c r="G8" i="1"/>
  <c r="F8" i="1"/>
  <c r="E8" i="1"/>
  <c r="I91" i="1" l="1"/>
  <c r="I78" i="1"/>
  <c r="I76" i="1" s="1"/>
  <c r="I65" i="1"/>
  <c r="I64" i="1" s="1"/>
</calcChain>
</file>

<file path=xl/sharedStrings.xml><?xml version="1.0" encoding="utf-8"?>
<sst xmlns="http://schemas.openxmlformats.org/spreadsheetml/2006/main" count="247" uniqueCount="139">
  <si>
    <t>Type-Aluform- Mione</t>
  </si>
  <si>
    <t>Category-</t>
  </si>
  <si>
    <t>One</t>
  </si>
  <si>
    <t>Four</t>
  </si>
  <si>
    <t>Two</t>
  </si>
  <si>
    <t>Three</t>
  </si>
  <si>
    <t>Five</t>
  </si>
  <si>
    <t>Building -</t>
  </si>
  <si>
    <t>Type of Unit-</t>
  </si>
  <si>
    <t>1 BHK</t>
  </si>
  <si>
    <t>2 BHK</t>
  </si>
  <si>
    <t>3 BHK</t>
  </si>
  <si>
    <t>SN</t>
  </si>
  <si>
    <t>Work Category</t>
  </si>
  <si>
    <t>Sub Work Category</t>
  </si>
  <si>
    <t>Remark</t>
  </si>
  <si>
    <t>Rates</t>
  </si>
  <si>
    <t>A</t>
  </si>
  <si>
    <t>Electrical-I</t>
  </si>
  <si>
    <t>Slab Piping+wall wall</t>
  </si>
  <si>
    <t>Wall Pipeing &amp; Ziri cutting+pipe fitting+ Repair</t>
  </si>
  <si>
    <t>Conceiled box fitting</t>
  </si>
  <si>
    <t>Block wiring</t>
  </si>
  <si>
    <t>switch plate fitting</t>
  </si>
  <si>
    <t xml:space="preserve">   Testing Final Repair &amp; Finish</t>
  </si>
  <si>
    <t>Testing</t>
  </si>
  <si>
    <t>Reserve</t>
  </si>
  <si>
    <t>Electrical Line-E</t>
  </si>
  <si>
    <t>B</t>
  </si>
  <si>
    <t>Water Proofing</t>
  </si>
  <si>
    <t>Chipping , Leakage Pipe &amp; First Coat</t>
  </si>
  <si>
    <t>Koba filling &amp; Finishing</t>
  </si>
  <si>
    <t>C</t>
  </si>
  <si>
    <t>Plumbing-I</t>
  </si>
  <si>
    <t>Plumbing-E</t>
  </si>
  <si>
    <t>D</t>
  </si>
  <si>
    <t xml:space="preserve">Tiles </t>
  </si>
  <si>
    <t>Tiles -F</t>
  </si>
  <si>
    <t xml:space="preserve">Floor,Wall Tiles </t>
  </si>
  <si>
    <t>Floor  scurting</t>
  </si>
  <si>
    <t>Wash- Floor</t>
  </si>
  <si>
    <t>Wash- wall</t>
  </si>
  <si>
    <t>Tiles -W</t>
  </si>
  <si>
    <t>Kitchen- Wall</t>
  </si>
  <si>
    <t>Tiles -Otta</t>
  </si>
  <si>
    <t>Toiltet-1 Comn - Floor</t>
  </si>
  <si>
    <t>Toiltet-1 Comn - Wall</t>
  </si>
  <si>
    <t>Toiltet-2 Attach -Floor</t>
  </si>
  <si>
    <t>Toiltet-2 Attach - Wall</t>
  </si>
  <si>
    <t>Toiltet-3Attach -Floor</t>
  </si>
  <si>
    <t>Toiltet-3Attach - Wall</t>
  </si>
  <si>
    <t>Kitchen Otta</t>
  </si>
  <si>
    <t>Extra work</t>
  </si>
  <si>
    <t>Tiles- W</t>
  </si>
  <si>
    <t>Acid wash</t>
  </si>
  <si>
    <t>Window Seal</t>
  </si>
  <si>
    <t>Tiles-W</t>
  </si>
  <si>
    <t>kadapa Rack</t>
  </si>
  <si>
    <t>E</t>
  </si>
  <si>
    <t>Gypsum Work</t>
  </si>
  <si>
    <t xml:space="preserve">Gypsum/pop-w </t>
  </si>
  <si>
    <t>Dhar &amp; Line finishing of beam and column</t>
  </si>
  <si>
    <t xml:space="preserve">Gypsum/pop-c </t>
  </si>
  <si>
    <t>False Ceiling</t>
  </si>
  <si>
    <t>Metal Framing</t>
  </si>
  <si>
    <t>Sheet fitting &amp; Finishing</t>
  </si>
  <si>
    <t xml:space="preserve">Electric Hole Cutting </t>
  </si>
  <si>
    <t>F</t>
  </si>
  <si>
    <t>Civil Work</t>
  </si>
  <si>
    <t xml:space="preserve">Door Frame Fitting </t>
  </si>
  <si>
    <t>Brickwork</t>
  </si>
  <si>
    <t>Internal Plaster</t>
  </si>
  <si>
    <t>Loft</t>
  </si>
  <si>
    <t>Wash up pipe &amp; Concrete Finish</t>
  </si>
  <si>
    <t>G</t>
  </si>
  <si>
    <t>Fabrication work</t>
  </si>
  <si>
    <t>Grill Fitting</t>
  </si>
  <si>
    <t>Balcony Railing</t>
  </si>
  <si>
    <t>H</t>
  </si>
  <si>
    <t>Painting</t>
  </si>
  <si>
    <t>Putti-1 (1.25/ sft)</t>
  </si>
  <si>
    <t>Putti-2 with Final Base (1.25/ sft)</t>
  </si>
  <si>
    <t>Ghassai + Primer(1.0/ sft)</t>
  </si>
  <si>
    <t>Paint coat- 1(0.75/ sft)</t>
  </si>
  <si>
    <t>Paint coat- 2(0.75/ sft)</t>
  </si>
  <si>
    <t>Texture (1.0/ sft)</t>
  </si>
  <si>
    <t>Oil paint = Door Frame+Grill+Railing</t>
  </si>
  <si>
    <t>Cleaning 100%</t>
  </si>
  <si>
    <t>I</t>
  </si>
  <si>
    <t>Finishing- W</t>
  </si>
  <si>
    <t>Finishing</t>
  </si>
  <si>
    <t>Aluminium Window Fitting</t>
  </si>
  <si>
    <t>J</t>
  </si>
  <si>
    <t>Finishing-D</t>
  </si>
  <si>
    <t>Door Panels</t>
  </si>
  <si>
    <t>KCC- LP  Unit wise Work</t>
  </si>
  <si>
    <t xml:space="preserve"> A3</t>
  </si>
  <si>
    <t>A1,A2</t>
  </si>
  <si>
    <t xml:space="preserve">Granding (1.0/sft)     </t>
  </si>
  <si>
    <t>A1, A2</t>
  </si>
  <si>
    <t>Sr.No</t>
  </si>
  <si>
    <t>Item</t>
  </si>
  <si>
    <t>1BHK</t>
  </si>
  <si>
    <t>2BHK / 2BHK</t>
  </si>
  <si>
    <t>Duplex – Ground Floor</t>
  </si>
  <si>
    <t>Duplex – First Floor</t>
  </si>
  <si>
    <t>Sluce</t>
  </si>
  <si>
    <t>Bath + Wash + Toilet &amp; Kitchen internal pipe line testing</t>
  </si>
  <si>
    <t>Outer drainage line – Toilet outlet (75 mm &amp; 110 mm pipe fitting)</t>
  </si>
  <si>
    <t>Kitchen + Bal outlet pipe (75 mm) fitting upto chamber</t>
  </si>
  <si>
    <t>Rain water pipe line fitting upto rain water harvesting</t>
  </si>
  <si>
    <t>Looping line</t>
  </si>
  <si>
    <t>Show fitting (commode, basin, cistern) + Water meter</t>
  </si>
  <si>
    <t>Sewerage line</t>
  </si>
  <si>
    <t>Flat Type</t>
  </si>
  <si>
    <t>Amount</t>
  </si>
  <si>
    <t>₹7,300</t>
  </si>
  <si>
    <t>₹8,000</t>
  </si>
  <si>
    <t>₹6,000</t>
  </si>
  <si>
    <t>Rate (₹)</t>
  </si>
  <si>
    <t>Ledge Wall</t>
  </si>
  <si>
    <t>Chamber brick work + plaster (36" × 18")</t>
  </si>
  <si>
    <t>Chamber brick work + plaster (24" × 18")</t>
  </si>
  <si>
    <t>Chamber brick work + plaster (12" × 12")</t>
  </si>
  <si>
    <t>Javeed Bhai – Plumbing (Final)</t>
  </si>
  <si>
    <t>Project: LOTUS PARK</t>
  </si>
  <si>
    <t>Work: Slab Piping</t>
  </si>
  <si>
    <t>Breakup: Final</t>
  </si>
  <si>
    <t>Rate Breakup (Per Flat Type)</t>
  </si>
  <si>
    <t xml:space="preserve">Sluice </t>
  </si>
  <si>
    <t>Bath + Wash + Toilet &amp; Kitchen internal pipe line fitting</t>
  </si>
  <si>
    <t xml:space="preserve">Internal drainage line bath+wash+Toilet &amp; kitchen nani trap fitting </t>
  </si>
  <si>
    <t>Water tank to block water supply pipe-2 nos-</t>
  </si>
  <si>
    <t>Kitchen + Bal outlet pipe (75 mm) pipe line fitting upto chamber</t>
  </si>
  <si>
    <t>Meter drop to isolator</t>
  </si>
  <si>
    <t>Tile Patti Hole</t>
  </si>
  <si>
    <t>Internal Repairing</t>
  </si>
  <si>
    <t>1 to 4rth floor</t>
  </si>
  <si>
    <t>5 to 7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</si>
</sst>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4" borderId="0" xfId="0" applyFont="1" applyFill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" fontId="2" fillId="2" borderId="7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2" fillId="0" borderId="11" xfId="0" applyFont="1" applyBorder="1" applyAlignment="1">
      <alignment horizontal="left" vertical="center"/>
    </xf>
    <xf numFmtId="0" fontId="1" fillId="5" borderId="7" xfId="0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7" xfId="0" applyBorder="1"/>
    <xf numFmtId="0" fontId="7" fillId="0" borderId="7" xfId="0" applyFont="1" applyBorder="1" applyAlignment="1">
      <alignment wrapText="1"/>
    </xf>
    <xf numFmtId="0" fontId="7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2" borderId="7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1" fontId="1" fillId="4" borderId="7" xfId="0" applyNumberFormat="1" applyFont="1" applyFill="1" applyBorder="1" applyAlignment="1">
      <alignment horizontal="left"/>
    </xf>
    <xf numFmtId="1" fontId="2" fillId="3" borderId="7" xfId="0" applyNumberFormat="1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1" fontId="1" fillId="3" borderId="7" xfId="0" applyNumberFormat="1" applyFont="1" applyFill="1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/>
    </xf>
    <xf numFmtId="1" fontId="2" fillId="5" borderId="7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3"/>
  <sheetViews>
    <sheetView tabSelected="1" topLeftCell="A74" zoomScale="80" zoomScaleNormal="80" workbookViewId="0">
      <selection activeCell="C96" sqref="C96"/>
    </sheetView>
  </sheetViews>
  <sheetFormatPr defaultColWidth="9.140625" defaultRowHeight="18.75" x14ac:dyDescent="0.3"/>
  <cols>
    <col min="1" max="1" width="5.5703125" style="1" customWidth="1"/>
    <col min="2" max="2" width="24.7109375" style="1" customWidth="1"/>
    <col min="3" max="3" width="55.85546875" style="1" customWidth="1"/>
    <col min="4" max="4" width="18.85546875" style="1" customWidth="1"/>
    <col min="5" max="5" width="13.5703125" style="27" customWidth="1"/>
    <col min="6" max="6" width="11.5703125" style="27" customWidth="1"/>
    <col min="7" max="7" width="13.140625" style="27" customWidth="1"/>
    <col min="8" max="8" width="11.28515625" style="27" customWidth="1"/>
    <col min="9" max="9" width="10.85546875" style="27" customWidth="1"/>
    <col min="10" max="10" width="13" style="22" customWidth="1"/>
    <col min="11" max="11" width="10.5703125" style="14" customWidth="1"/>
    <col min="12" max="12" width="13.140625" style="14" customWidth="1"/>
    <col min="13" max="13" width="8.7109375" style="23" customWidth="1"/>
    <col min="14" max="16384" width="9.140625" style="1"/>
  </cols>
  <sheetData>
    <row r="1" spans="1:13" x14ac:dyDescent="0.3">
      <c r="A1" s="26"/>
      <c r="B1" s="26"/>
      <c r="C1" s="26"/>
      <c r="D1" s="26"/>
      <c r="E1" s="43"/>
      <c r="F1" s="43"/>
      <c r="G1" s="43"/>
      <c r="H1" s="43"/>
      <c r="I1" s="43"/>
      <c r="J1" s="44"/>
      <c r="K1" s="45"/>
      <c r="L1" s="45"/>
    </row>
    <row r="2" spans="1:13" s="17" customFormat="1" x14ac:dyDescent="0.25">
      <c r="A2" s="70" t="s">
        <v>95</v>
      </c>
      <c r="B2" s="71"/>
      <c r="C2" s="71"/>
      <c r="D2" s="72"/>
      <c r="E2" s="73" t="s">
        <v>0</v>
      </c>
      <c r="F2" s="74"/>
      <c r="G2" s="74"/>
      <c r="H2" s="74"/>
      <c r="I2" s="75"/>
      <c r="J2" s="11"/>
      <c r="K2" s="76"/>
      <c r="L2" s="76"/>
      <c r="M2" s="24"/>
    </row>
    <row r="3" spans="1:13" x14ac:dyDescent="0.3">
      <c r="A3" s="26"/>
      <c r="B3" s="26"/>
      <c r="C3" s="11" t="s">
        <v>1</v>
      </c>
      <c r="D3" s="11"/>
      <c r="E3" s="46" t="s">
        <v>2</v>
      </c>
      <c r="F3" s="46" t="s">
        <v>3</v>
      </c>
      <c r="G3" s="46" t="s">
        <v>4</v>
      </c>
      <c r="H3" s="46" t="s">
        <v>5</v>
      </c>
      <c r="I3" s="46" t="s">
        <v>6</v>
      </c>
      <c r="J3" s="47"/>
      <c r="K3" s="4"/>
      <c r="L3" s="48"/>
    </row>
    <row r="4" spans="1:13" x14ac:dyDescent="0.3">
      <c r="A4" s="49"/>
      <c r="B4" s="49"/>
      <c r="C4" s="11" t="s">
        <v>7</v>
      </c>
      <c r="D4" s="11"/>
      <c r="E4" s="50" t="s">
        <v>96</v>
      </c>
      <c r="F4" s="50" t="s">
        <v>97</v>
      </c>
      <c r="G4" s="50" t="s">
        <v>96</v>
      </c>
      <c r="H4" s="50" t="s">
        <v>99</v>
      </c>
      <c r="I4" s="50"/>
      <c r="J4" s="47"/>
      <c r="K4" s="4"/>
      <c r="L4" s="4"/>
    </row>
    <row r="5" spans="1:13" x14ac:dyDescent="0.3">
      <c r="A5" s="26"/>
      <c r="B5" s="26"/>
      <c r="C5" s="11" t="s">
        <v>8</v>
      </c>
      <c r="D5" s="11"/>
      <c r="E5" s="51" t="s">
        <v>9</v>
      </c>
      <c r="F5" s="51" t="s">
        <v>9</v>
      </c>
      <c r="G5" s="51" t="s">
        <v>10</v>
      </c>
      <c r="H5" s="51" t="s">
        <v>10</v>
      </c>
      <c r="I5" s="51" t="s">
        <v>11</v>
      </c>
      <c r="J5" s="47"/>
      <c r="K5" s="52"/>
      <c r="L5" s="52"/>
    </row>
    <row r="6" spans="1:13" x14ac:dyDescent="0.3">
      <c r="A6" s="53"/>
      <c r="B6" s="11"/>
      <c r="C6" s="11"/>
      <c r="D6" s="49"/>
      <c r="E6" s="54"/>
      <c r="F6" s="54"/>
      <c r="G6" s="54"/>
      <c r="H6" s="54"/>
      <c r="I6" s="54"/>
      <c r="J6" s="55"/>
      <c r="K6" s="56"/>
      <c r="L6" s="56"/>
    </row>
    <row r="7" spans="1:13" s="2" customFormat="1" x14ac:dyDescent="0.3">
      <c r="A7" s="53" t="s">
        <v>12</v>
      </c>
      <c r="B7" s="11" t="s">
        <v>13</v>
      </c>
      <c r="C7" s="11" t="s">
        <v>14</v>
      </c>
      <c r="D7" s="11" t="s">
        <v>15</v>
      </c>
      <c r="E7" s="51" t="s">
        <v>16</v>
      </c>
      <c r="F7" s="51" t="s">
        <v>16</v>
      </c>
      <c r="G7" s="51" t="s">
        <v>16</v>
      </c>
      <c r="H7" s="51" t="s">
        <v>16</v>
      </c>
      <c r="I7" s="51" t="s">
        <v>16</v>
      </c>
      <c r="J7" s="57"/>
      <c r="K7" s="57"/>
      <c r="L7" s="57"/>
      <c r="M7" s="25"/>
    </row>
    <row r="8" spans="1:13" s="5" customFormat="1" x14ac:dyDescent="0.3">
      <c r="A8" s="53" t="s">
        <v>17</v>
      </c>
      <c r="B8" s="4" t="s">
        <v>18</v>
      </c>
      <c r="C8" s="11"/>
      <c r="D8" s="11"/>
      <c r="E8" s="20">
        <f>SUM(E9:E16)</f>
        <v>5600</v>
      </c>
      <c r="F8" s="20">
        <f>SUM(F9:F16)</f>
        <v>4500</v>
      </c>
      <c r="G8" s="20">
        <f>SUM(G9:G16)</f>
        <v>7200</v>
      </c>
      <c r="H8" s="20">
        <f>SUM(H9:H16)</f>
        <v>5300</v>
      </c>
      <c r="I8" s="20">
        <f>SUM(I9:I16)</f>
        <v>6100</v>
      </c>
      <c r="J8" s="47"/>
      <c r="K8" s="52"/>
      <c r="L8" s="52"/>
      <c r="M8" s="23"/>
    </row>
    <row r="9" spans="1:13" x14ac:dyDescent="0.3">
      <c r="A9" s="58">
        <v>1</v>
      </c>
      <c r="B9" s="6" t="s">
        <v>18</v>
      </c>
      <c r="C9" s="8" t="s">
        <v>19</v>
      </c>
      <c r="D9" s="8"/>
      <c r="E9" s="7">
        <v>300</v>
      </c>
      <c r="F9" s="7">
        <v>1100</v>
      </c>
      <c r="G9" s="7">
        <v>400</v>
      </c>
      <c r="H9" s="7">
        <v>1300</v>
      </c>
      <c r="I9" s="7">
        <v>1500</v>
      </c>
      <c r="J9" s="55"/>
      <c r="K9" s="56"/>
      <c r="L9" s="56"/>
    </row>
    <row r="10" spans="1:13" x14ac:dyDescent="0.3">
      <c r="A10" s="58">
        <v>2</v>
      </c>
      <c r="B10" s="6" t="s">
        <v>18</v>
      </c>
      <c r="C10" s="8" t="s">
        <v>20</v>
      </c>
      <c r="D10" s="8"/>
      <c r="E10" s="7">
        <v>900</v>
      </c>
      <c r="F10" s="7"/>
      <c r="G10" s="7">
        <v>1800</v>
      </c>
      <c r="H10" s="7"/>
      <c r="I10" s="7"/>
      <c r="J10" s="55"/>
      <c r="K10" s="56"/>
      <c r="L10" s="56"/>
    </row>
    <row r="11" spans="1:13" x14ac:dyDescent="0.3">
      <c r="A11" s="58">
        <v>3</v>
      </c>
      <c r="B11" s="6" t="s">
        <v>18</v>
      </c>
      <c r="C11" s="8" t="s">
        <v>21</v>
      </c>
      <c r="D11" s="8"/>
      <c r="E11" s="7">
        <v>1000</v>
      </c>
      <c r="F11" s="7"/>
      <c r="G11" s="7">
        <v>1000</v>
      </c>
      <c r="H11" s="7"/>
      <c r="I11" s="7"/>
      <c r="J11" s="55"/>
      <c r="K11" s="56"/>
      <c r="L11" s="56"/>
    </row>
    <row r="12" spans="1:13" x14ac:dyDescent="0.3">
      <c r="A12" s="58">
        <v>4</v>
      </c>
      <c r="B12" s="6" t="s">
        <v>18</v>
      </c>
      <c r="C12" s="8" t="s">
        <v>22</v>
      </c>
      <c r="D12" s="8"/>
      <c r="E12" s="7">
        <v>1200</v>
      </c>
      <c r="F12" s="7">
        <v>1200</v>
      </c>
      <c r="G12" s="7">
        <v>1500</v>
      </c>
      <c r="H12" s="7">
        <v>1500</v>
      </c>
      <c r="I12" s="7">
        <v>1600</v>
      </c>
      <c r="J12" s="55"/>
      <c r="K12" s="56"/>
      <c r="L12" s="56"/>
    </row>
    <row r="13" spans="1:13" x14ac:dyDescent="0.3">
      <c r="A13" s="58">
        <v>5</v>
      </c>
      <c r="B13" s="6" t="s">
        <v>18</v>
      </c>
      <c r="C13" s="8" t="s">
        <v>23</v>
      </c>
      <c r="D13" s="8"/>
      <c r="E13" s="7">
        <v>1200</v>
      </c>
      <c r="F13" s="7">
        <v>1200</v>
      </c>
      <c r="G13" s="7">
        <v>1400</v>
      </c>
      <c r="H13" s="7">
        <v>1400</v>
      </c>
      <c r="I13" s="7">
        <v>1600</v>
      </c>
      <c r="J13" s="55"/>
      <c r="K13" s="56"/>
      <c r="L13" s="56"/>
    </row>
    <row r="14" spans="1:13" x14ac:dyDescent="0.3">
      <c r="A14" s="58">
        <v>6</v>
      </c>
      <c r="B14" s="6" t="s">
        <v>18</v>
      </c>
      <c r="C14" s="8" t="s">
        <v>24</v>
      </c>
      <c r="D14" s="8"/>
      <c r="E14" s="7">
        <v>600</v>
      </c>
      <c r="F14" s="7">
        <v>600</v>
      </c>
      <c r="G14" s="7">
        <v>700</v>
      </c>
      <c r="H14" s="7">
        <v>700</v>
      </c>
      <c r="I14" s="7">
        <v>1000</v>
      </c>
      <c r="J14" s="55"/>
      <c r="K14" s="56"/>
      <c r="L14" s="56"/>
    </row>
    <row r="15" spans="1:13" x14ac:dyDescent="0.3">
      <c r="A15" s="58">
        <v>7</v>
      </c>
      <c r="B15" s="6" t="s">
        <v>18</v>
      </c>
      <c r="C15" s="8" t="s">
        <v>25</v>
      </c>
      <c r="D15" s="8"/>
      <c r="E15" s="7">
        <v>200</v>
      </c>
      <c r="F15" s="7">
        <v>200</v>
      </c>
      <c r="G15" s="7">
        <v>200</v>
      </c>
      <c r="H15" s="7">
        <v>200</v>
      </c>
      <c r="I15" s="7"/>
      <c r="J15" s="55"/>
      <c r="K15" s="56"/>
      <c r="L15" s="56"/>
    </row>
    <row r="16" spans="1:13" x14ac:dyDescent="0.3">
      <c r="A16" s="58">
        <v>8</v>
      </c>
      <c r="B16" s="6" t="s">
        <v>18</v>
      </c>
      <c r="C16" s="8" t="s">
        <v>26</v>
      </c>
      <c r="D16" s="8"/>
      <c r="E16" s="7">
        <v>200</v>
      </c>
      <c r="F16" s="7">
        <v>200</v>
      </c>
      <c r="G16" s="7">
        <v>200</v>
      </c>
      <c r="H16" s="7">
        <v>200</v>
      </c>
      <c r="I16" s="7">
        <v>400</v>
      </c>
      <c r="J16" s="55"/>
      <c r="K16" s="56"/>
      <c r="L16" s="56"/>
    </row>
    <row r="17" spans="1:13" x14ac:dyDescent="0.3">
      <c r="A17" s="58">
        <v>9</v>
      </c>
      <c r="B17" s="6" t="s">
        <v>27</v>
      </c>
      <c r="C17" s="8" t="s">
        <v>134</v>
      </c>
      <c r="D17" s="8"/>
      <c r="E17" s="7">
        <v>1000</v>
      </c>
      <c r="F17" s="7">
        <v>1000</v>
      </c>
      <c r="G17" s="7">
        <v>1000</v>
      </c>
      <c r="H17" s="7">
        <v>1000</v>
      </c>
      <c r="I17" s="7"/>
      <c r="J17" s="55"/>
      <c r="K17" s="56"/>
      <c r="L17" s="56"/>
    </row>
    <row r="18" spans="1:13" x14ac:dyDescent="0.3">
      <c r="A18" s="58"/>
      <c r="B18" s="6"/>
      <c r="C18" s="6"/>
      <c r="D18" s="6"/>
      <c r="E18" s="7"/>
      <c r="F18" s="7"/>
      <c r="G18" s="7"/>
      <c r="H18" s="7"/>
      <c r="I18" s="7"/>
      <c r="J18" s="55"/>
      <c r="K18" s="56"/>
      <c r="L18" s="56"/>
    </row>
    <row r="19" spans="1:13" s="5" customFormat="1" x14ac:dyDescent="0.3">
      <c r="A19" s="53" t="s">
        <v>28</v>
      </c>
      <c r="B19" s="4" t="s">
        <v>29</v>
      </c>
      <c r="C19" s="4"/>
      <c r="D19" s="4"/>
      <c r="E19" s="20">
        <f>SUM(E20:E22)</f>
        <v>5000</v>
      </c>
      <c r="F19" s="20">
        <f>SUM(F20:F22)</f>
        <v>5300</v>
      </c>
      <c r="G19" s="20">
        <f>SUM(G20:G22)</f>
        <v>6000</v>
      </c>
      <c r="H19" s="20">
        <f>SUM(H20:H22)</f>
        <v>5800</v>
      </c>
      <c r="I19" s="20">
        <f>SUM(I20:I22)</f>
        <v>5600</v>
      </c>
      <c r="J19" s="47"/>
      <c r="K19" s="52"/>
      <c r="L19" s="52"/>
      <c r="M19" s="23"/>
    </row>
    <row r="20" spans="1:13" x14ac:dyDescent="0.3">
      <c r="A20" s="58">
        <v>13</v>
      </c>
      <c r="B20" s="6" t="s">
        <v>29</v>
      </c>
      <c r="C20" s="8" t="s">
        <v>30</v>
      </c>
      <c r="D20" s="8"/>
      <c r="E20" s="7">
        <v>2000</v>
      </c>
      <c r="F20" s="7">
        <v>2300</v>
      </c>
      <c r="G20" s="7">
        <v>2500</v>
      </c>
      <c r="H20" s="7">
        <v>2500</v>
      </c>
      <c r="I20" s="7">
        <v>2800</v>
      </c>
      <c r="J20" s="55"/>
      <c r="K20" s="56"/>
      <c r="L20" s="56"/>
    </row>
    <row r="21" spans="1:13" x14ac:dyDescent="0.3">
      <c r="A21" s="58">
        <v>14</v>
      </c>
      <c r="B21" s="6" t="s">
        <v>29</v>
      </c>
      <c r="C21" s="8" t="s">
        <v>31</v>
      </c>
      <c r="D21" s="8"/>
      <c r="E21" s="7">
        <v>2500</v>
      </c>
      <c r="F21" s="7">
        <v>2500</v>
      </c>
      <c r="G21" s="7">
        <v>3000</v>
      </c>
      <c r="H21" s="7">
        <v>2800</v>
      </c>
      <c r="I21" s="7">
        <v>2400</v>
      </c>
      <c r="J21" s="55"/>
      <c r="K21" s="56"/>
      <c r="L21" s="56"/>
    </row>
    <row r="22" spans="1:13" x14ac:dyDescent="0.3">
      <c r="A22" s="58">
        <v>15</v>
      </c>
      <c r="B22" s="6" t="s">
        <v>29</v>
      </c>
      <c r="C22" s="8" t="s">
        <v>26</v>
      </c>
      <c r="D22" s="8"/>
      <c r="E22" s="7">
        <v>500</v>
      </c>
      <c r="F22" s="7">
        <v>500</v>
      </c>
      <c r="G22" s="7">
        <v>500</v>
      </c>
      <c r="H22" s="7">
        <v>500</v>
      </c>
      <c r="I22" s="7">
        <v>400</v>
      </c>
      <c r="J22" s="55"/>
      <c r="K22" s="56"/>
      <c r="L22" s="56"/>
    </row>
    <row r="23" spans="1:13" x14ac:dyDescent="0.3">
      <c r="A23" s="58"/>
      <c r="B23" s="6"/>
      <c r="C23" s="6"/>
      <c r="D23" s="6"/>
      <c r="E23" s="7"/>
      <c r="F23" s="7"/>
      <c r="G23" s="7"/>
      <c r="H23" s="7"/>
      <c r="I23" s="7"/>
      <c r="J23" s="55"/>
      <c r="K23" s="56"/>
      <c r="L23" s="56"/>
    </row>
    <row r="24" spans="1:13" s="5" customFormat="1" x14ac:dyDescent="0.3">
      <c r="A24" s="53" t="s">
        <v>32</v>
      </c>
      <c r="B24" s="4" t="s">
        <v>33</v>
      </c>
      <c r="C24" s="49"/>
      <c r="D24" s="4"/>
      <c r="E24" s="20">
        <f>SUM(E25:E36)</f>
        <v>7300</v>
      </c>
      <c r="F24" s="20">
        <f>SUM(F25:F36)</f>
        <v>7300</v>
      </c>
      <c r="G24" s="20">
        <f>SUM(G25:G36)</f>
        <v>8000</v>
      </c>
      <c r="H24" s="20">
        <f>SUM(H25:H36)</f>
        <v>8000</v>
      </c>
      <c r="I24" s="20">
        <v>8000</v>
      </c>
      <c r="J24" s="47"/>
      <c r="K24" s="52"/>
      <c r="L24" s="52"/>
      <c r="M24" s="23"/>
    </row>
    <row r="25" spans="1:13" s="5" customFormat="1" x14ac:dyDescent="0.3">
      <c r="A25" s="53"/>
      <c r="B25" s="6" t="s">
        <v>33</v>
      </c>
      <c r="C25" s="8" t="s">
        <v>129</v>
      </c>
      <c r="D25" s="4"/>
      <c r="E25" s="42">
        <v>200</v>
      </c>
      <c r="F25" s="42">
        <v>200</v>
      </c>
      <c r="G25" s="42">
        <v>200</v>
      </c>
      <c r="H25" s="42">
        <v>200</v>
      </c>
      <c r="I25" s="42">
        <v>200</v>
      </c>
      <c r="J25" s="47"/>
      <c r="K25" s="52"/>
      <c r="L25" s="52"/>
      <c r="M25" s="23"/>
    </row>
    <row r="26" spans="1:13" ht="37.5" x14ac:dyDescent="0.3">
      <c r="A26" s="58">
        <v>16</v>
      </c>
      <c r="B26" s="80" t="s">
        <v>33</v>
      </c>
      <c r="C26" s="59" t="s">
        <v>130</v>
      </c>
      <c r="D26" s="8"/>
      <c r="E26" s="77">
        <v>3000</v>
      </c>
      <c r="F26" s="77">
        <v>3000</v>
      </c>
      <c r="G26" s="77">
        <v>3200</v>
      </c>
      <c r="H26" s="77">
        <v>3200</v>
      </c>
      <c r="I26" s="77">
        <v>3200</v>
      </c>
      <c r="J26" s="55"/>
      <c r="K26" s="56"/>
      <c r="L26" s="56"/>
    </row>
    <row r="27" spans="1:13" ht="37.5" x14ac:dyDescent="0.3">
      <c r="A27" s="58">
        <v>17</v>
      </c>
      <c r="B27" s="81"/>
      <c r="C27" s="59" t="s">
        <v>107</v>
      </c>
      <c r="D27" s="8"/>
      <c r="E27" s="78"/>
      <c r="F27" s="78"/>
      <c r="G27" s="78"/>
      <c r="H27" s="78"/>
      <c r="I27" s="78"/>
      <c r="J27" s="55"/>
      <c r="K27" s="56"/>
      <c r="L27" s="56"/>
    </row>
    <row r="28" spans="1:13" ht="37.5" x14ac:dyDescent="0.3">
      <c r="A28" s="58">
        <v>18</v>
      </c>
      <c r="B28" s="81"/>
      <c r="C28" s="59" t="s">
        <v>131</v>
      </c>
      <c r="D28" s="8"/>
      <c r="E28" s="79"/>
      <c r="F28" s="79"/>
      <c r="G28" s="79"/>
      <c r="H28" s="79"/>
      <c r="I28" s="79"/>
      <c r="J28" s="55"/>
      <c r="K28" s="56"/>
      <c r="L28" s="56"/>
    </row>
    <row r="29" spans="1:13" ht="37.5" x14ac:dyDescent="0.3">
      <c r="A29" s="58">
        <v>19</v>
      </c>
      <c r="B29" s="6" t="s">
        <v>33</v>
      </c>
      <c r="C29" s="59" t="s">
        <v>112</v>
      </c>
      <c r="D29" s="8"/>
      <c r="E29" s="42">
        <v>1200</v>
      </c>
      <c r="F29" s="42">
        <v>1200</v>
      </c>
      <c r="G29" s="42">
        <v>1500</v>
      </c>
      <c r="H29" s="42">
        <v>1500</v>
      </c>
      <c r="I29" s="42">
        <v>1500</v>
      </c>
      <c r="J29" s="55"/>
      <c r="K29" s="56"/>
      <c r="L29" s="56"/>
    </row>
    <row r="30" spans="1:13" ht="39.75" customHeight="1" x14ac:dyDescent="0.3">
      <c r="A30" s="58">
        <v>20</v>
      </c>
      <c r="B30" s="80" t="s">
        <v>34</v>
      </c>
      <c r="C30" s="60" t="s">
        <v>108</v>
      </c>
      <c r="D30" s="8"/>
      <c r="E30" s="77">
        <v>1000</v>
      </c>
      <c r="F30" s="77">
        <v>1000</v>
      </c>
      <c r="G30" s="77">
        <v>1000</v>
      </c>
      <c r="H30" s="77">
        <v>1000</v>
      </c>
      <c r="I30" s="77">
        <v>1000</v>
      </c>
      <c r="J30" s="55"/>
      <c r="K30" s="56"/>
      <c r="L30" s="56"/>
    </row>
    <row r="31" spans="1:13" ht="29.25" customHeight="1" x14ac:dyDescent="0.3">
      <c r="A31" s="58">
        <v>21</v>
      </c>
      <c r="B31" s="82"/>
      <c r="C31" s="8" t="s">
        <v>132</v>
      </c>
      <c r="D31" s="8"/>
      <c r="E31" s="79"/>
      <c r="F31" s="79"/>
      <c r="G31" s="79"/>
      <c r="H31" s="79"/>
      <c r="I31" s="79"/>
      <c r="J31" s="55"/>
      <c r="K31" s="56"/>
      <c r="L31" s="56"/>
    </row>
    <row r="32" spans="1:13" ht="41.25" customHeight="1" x14ac:dyDescent="0.3">
      <c r="A32" s="58">
        <v>22</v>
      </c>
      <c r="B32" s="6" t="s">
        <v>34</v>
      </c>
      <c r="C32" s="59" t="s">
        <v>133</v>
      </c>
      <c r="D32" s="8"/>
      <c r="E32" s="42">
        <v>350</v>
      </c>
      <c r="F32" s="42">
        <v>350</v>
      </c>
      <c r="G32" s="42">
        <v>350</v>
      </c>
      <c r="H32" s="42">
        <v>350</v>
      </c>
      <c r="I32" s="42">
        <v>350</v>
      </c>
      <c r="J32" s="55"/>
      <c r="K32" s="56"/>
      <c r="L32" s="56"/>
    </row>
    <row r="33" spans="1:13" ht="45" customHeight="1" x14ac:dyDescent="0.3">
      <c r="A33" s="58">
        <v>23</v>
      </c>
      <c r="B33" s="6" t="s">
        <v>34</v>
      </c>
      <c r="C33" s="59" t="s">
        <v>110</v>
      </c>
      <c r="D33" s="8"/>
      <c r="E33" s="42">
        <v>250</v>
      </c>
      <c r="F33" s="42">
        <v>250</v>
      </c>
      <c r="G33" s="42">
        <v>250</v>
      </c>
      <c r="H33" s="42">
        <v>250</v>
      </c>
      <c r="I33" s="42">
        <v>250</v>
      </c>
      <c r="J33" s="55"/>
      <c r="K33" s="56"/>
      <c r="L33" s="56"/>
    </row>
    <row r="34" spans="1:13" ht="18" customHeight="1" x14ac:dyDescent="0.3">
      <c r="A34" s="58">
        <v>24</v>
      </c>
      <c r="B34" s="6" t="s">
        <v>34</v>
      </c>
      <c r="C34" s="8" t="s">
        <v>111</v>
      </c>
      <c r="D34" s="8"/>
      <c r="E34" s="7">
        <v>100</v>
      </c>
      <c r="F34" s="7">
        <v>100</v>
      </c>
      <c r="G34" s="7">
        <v>100</v>
      </c>
      <c r="H34" s="7">
        <v>100</v>
      </c>
      <c r="I34" s="7">
        <v>100</v>
      </c>
      <c r="J34" s="55"/>
      <c r="K34" s="56"/>
      <c r="L34" s="56"/>
    </row>
    <row r="35" spans="1:13" ht="15" customHeight="1" x14ac:dyDescent="0.3">
      <c r="A35" s="58">
        <v>25</v>
      </c>
      <c r="B35" s="6" t="s">
        <v>34</v>
      </c>
      <c r="C35" s="8" t="s">
        <v>113</v>
      </c>
      <c r="D35" s="8"/>
      <c r="E35" s="7">
        <v>600</v>
      </c>
      <c r="F35" s="7">
        <v>600</v>
      </c>
      <c r="G35" s="7">
        <v>600</v>
      </c>
      <c r="H35" s="7">
        <v>600</v>
      </c>
      <c r="I35" s="7">
        <v>600</v>
      </c>
      <c r="J35" s="55"/>
      <c r="K35" s="56"/>
      <c r="L35" s="56"/>
    </row>
    <row r="36" spans="1:13" ht="15" customHeight="1" x14ac:dyDescent="0.3">
      <c r="A36" s="58">
        <v>26</v>
      </c>
      <c r="B36" s="6" t="s">
        <v>34</v>
      </c>
      <c r="C36" s="8" t="s">
        <v>26</v>
      </c>
      <c r="D36" s="8"/>
      <c r="E36" s="7">
        <v>600</v>
      </c>
      <c r="F36" s="7">
        <v>600</v>
      </c>
      <c r="G36" s="7">
        <v>800</v>
      </c>
      <c r="H36" s="7">
        <v>800</v>
      </c>
      <c r="I36" s="7">
        <v>800</v>
      </c>
      <c r="J36" s="47"/>
      <c r="K36" s="52"/>
      <c r="L36" s="52"/>
    </row>
    <row r="37" spans="1:13" ht="15" customHeight="1" x14ac:dyDescent="0.3">
      <c r="A37" s="58"/>
      <c r="B37" s="6"/>
      <c r="C37" s="6"/>
      <c r="D37" s="6"/>
      <c r="E37" s="7"/>
      <c r="F37" s="7"/>
      <c r="G37" s="7"/>
      <c r="H37" s="7"/>
      <c r="I37" s="7"/>
      <c r="J37" s="55"/>
      <c r="K37" s="56"/>
      <c r="L37" s="56"/>
    </row>
    <row r="38" spans="1:13" s="5" customFormat="1" ht="15" customHeight="1" x14ac:dyDescent="0.3">
      <c r="A38" s="53" t="s">
        <v>35</v>
      </c>
      <c r="B38" s="4" t="s">
        <v>36</v>
      </c>
      <c r="C38" s="67" t="s">
        <v>137</v>
      </c>
      <c r="D38" s="4"/>
      <c r="E38" s="7"/>
      <c r="F38" s="7"/>
      <c r="G38" s="7"/>
      <c r="H38" s="7"/>
      <c r="I38" s="7"/>
      <c r="J38" s="47"/>
      <c r="K38" s="52"/>
      <c r="L38" s="52"/>
      <c r="M38" s="23"/>
    </row>
    <row r="39" spans="1:13" ht="15" customHeight="1" x14ac:dyDescent="0.3">
      <c r="A39" s="58">
        <v>27</v>
      </c>
      <c r="B39" s="4" t="s">
        <v>37</v>
      </c>
      <c r="C39" s="4" t="s">
        <v>38</v>
      </c>
      <c r="D39" s="4"/>
      <c r="E39" s="21">
        <f>SUM(E40:E55)</f>
        <v>13568</v>
      </c>
      <c r="F39" s="21">
        <f>SUM(F40:F55)</f>
        <v>18540</v>
      </c>
      <c r="G39" s="21">
        <f>SUM(G40:G55)</f>
        <v>20364</v>
      </c>
      <c r="H39" s="21">
        <f>SUM(H40:H55)</f>
        <v>24172</v>
      </c>
      <c r="I39" s="21">
        <f>SUM(I40:I55)</f>
        <v>20505.0236</v>
      </c>
      <c r="J39" s="61"/>
      <c r="K39" s="61"/>
      <c r="L39" s="61"/>
    </row>
    <row r="40" spans="1:13" ht="15" customHeight="1" x14ac:dyDescent="0.3">
      <c r="A40" s="58">
        <v>28</v>
      </c>
      <c r="B40" s="6" t="s">
        <v>37</v>
      </c>
      <c r="C40" s="8" t="s">
        <v>39</v>
      </c>
      <c r="D40" s="9"/>
      <c r="E40" s="13">
        <v>5376</v>
      </c>
      <c r="F40" s="13">
        <v>4164</v>
      </c>
      <c r="G40" s="13">
        <v>7520</v>
      </c>
      <c r="H40" s="13">
        <v>6011</v>
      </c>
      <c r="I40" s="13">
        <v>9968</v>
      </c>
      <c r="J40" s="55"/>
      <c r="K40" s="62"/>
      <c r="L40" s="62"/>
    </row>
    <row r="41" spans="1:13" ht="15" customHeight="1" x14ac:dyDescent="0.3">
      <c r="A41" s="58">
        <v>29</v>
      </c>
      <c r="B41" s="10"/>
      <c r="C41" s="8" t="s">
        <v>39</v>
      </c>
      <c r="D41" s="9"/>
      <c r="E41" s="13">
        <v>0</v>
      </c>
      <c r="F41" s="13">
        <v>2021</v>
      </c>
      <c r="G41" s="13">
        <v>0</v>
      </c>
      <c r="H41" s="13">
        <v>2789</v>
      </c>
      <c r="I41" s="13">
        <v>364</v>
      </c>
      <c r="J41" s="55"/>
      <c r="K41" s="62"/>
      <c r="L41" s="62"/>
    </row>
    <row r="42" spans="1:13" ht="15" customHeight="1" x14ac:dyDescent="0.3">
      <c r="A42" s="58">
        <v>30</v>
      </c>
      <c r="B42" s="6" t="s">
        <v>37</v>
      </c>
      <c r="C42" s="8" t="s">
        <v>40</v>
      </c>
      <c r="D42" s="9"/>
      <c r="E42" s="13">
        <v>416</v>
      </c>
      <c r="F42" s="13">
        <v>472</v>
      </c>
      <c r="G42" s="13">
        <v>416</v>
      </c>
      <c r="H42" s="13">
        <v>472</v>
      </c>
      <c r="I42" s="13">
        <v>250.25</v>
      </c>
      <c r="J42" s="55"/>
      <c r="K42" s="62"/>
      <c r="L42" s="62"/>
    </row>
    <row r="43" spans="1:13" ht="15" customHeight="1" x14ac:dyDescent="0.3">
      <c r="A43" s="58">
        <v>31</v>
      </c>
      <c r="B43" s="6" t="s">
        <v>37</v>
      </c>
      <c r="C43" s="8" t="s">
        <v>41</v>
      </c>
      <c r="D43" s="9"/>
      <c r="E43" s="13">
        <v>1080</v>
      </c>
      <c r="F43" s="13">
        <v>1125</v>
      </c>
      <c r="G43" s="13">
        <v>1080</v>
      </c>
      <c r="H43" s="13">
        <v>1125</v>
      </c>
      <c r="I43" s="13">
        <v>693</v>
      </c>
      <c r="J43" s="55"/>
      <c r="K43" s="62"/>
      <c r="L43" s="62"/>
    </row>
    <row r="44" spans="1:13" ht="15" customHeight="1" x14ac:dyDescent="0.3">
      <c r="A44" s="58">
        <v>32</v>
      </c>
      <c r="B44" s="6" t="s">
        <v>42</v>
      </c>
      <c r="C44" s="8" t="s">
        <v>43</v>
      </c>
      <c r="D44" s="9"/>
      <c r="E44" s="13">
        <v>432</v>
      </c>
      <c r="F44" s="13">
        <v>585</v>
      </c>
      <c r="G44" s="13">
        <v>432</v>
      </c>
      <c r="H44" s="13">
        <v>585</v>
      </c>
      <c r="I44" s="13">
        <v>411.25</v>
      </c>
      <c r="J44" s="55"/>
      <c r="K44" s="62"/>
      <c r="L44" s="62"/>
    </row>
    <row r="45" spans="1:13" ht="15" customHeight="1" x14ac:dyDescent="0.3">
      <c r="A45" s="58">
        <v>33</v>
      </c>
      <c r="B45" s="6" t="s">
        <v>44</v>
      </c>
      <c r="C45" s="8" t="s">
        <v>45</v>
      </c>
      <c r="D45" s="9"/>
      <c r="E45" s="13">
        <v>192</v>
      </c>
      <c r="F45" s="13">
        <v>484</v>
      </c>
      <c r="G45" s="13">
        <v>192</v>
      </c>
      <c r="H45" s="13">
        <v>484</v>
      </c>
      <c r="I45" s="13">
        <v>347.97840000000008</v>
      </c>
      <c r="J45" s="55"/>
      <c r="K45" s="62"/>
      <c r="L45" s="62"/>
    </row>
    <row r="46" spans="1:13" x14ac:dyDescent="0.3">
      <c r="A46" s="58">
        <v>34</v>
      </c>
      <c r="B46" s="6" t="s">
        <v>37</v>
      </c>
      <c r="C46" s="8" t="s">
        <v>46</v>
      </c>
      <c r="D46" s="9"/>
      <c r="E46" s="69">
        <v>1404</v>
      </c>
      <c r="F46" s="13">
        <v>2619</v>
      </c>
      <c r="G46" s="69">
        <v>1404</v>
      </c>
      <c r="H46" s="13">
        <v>2619</v>
      </c>
      <c r="I46" s="13">
        <v>1834.7952</v>
      </c>
      <c r="J46" s="55"/>
      <c r="K46" s="62"/>
      <c r="L46" s="62"/>
    </row>
    <row r="47" spans="1:13" x14ac:dyDescent="0.3">
      <c r="A47" s="58">
        <v>35</v>
      </c>
      <c r="B47" s="6" t="s">
        <v>42</v>
      </c>
      <c r="C47" s="8" t="s">
        <v>47</v>
      </c>
      <c r="D47" s="9"/>
      <c r="E47" s="69">
        <v>352</v>
      </c>
      <c r="F47" s="13"/>
      <c r="G47" s="69">
        <v>352</v>
      </c>
      <c r="H47" s="13">
        <v>336</v>
      </c>
      <c r="I47" s="13">
        <v>318.5</v>
      </c>
      <c r="J47" s="55"/>
      <c r="K47" s="62"/>
      <c r="L47" s="62"/>
    </row>
    <row r="48" spans="1:13" x14ac:dyDescent="0.3">
      <c r="A48" s="58">
        <v>36</v>
      </c>
      <c r="B48" s="6" t="s">
        <v>37</v>
      </c>
      <c r="C48" s="8" t="s">
        <v>48</v>
      </c>
      <c r="D48" s="9"/>
      <c r="E48" s="69">
        <v>188</v>
      </c>
      <c r="F48" s="13"/>
      <c r="G48" s="69">
        <v>188</v>
      </c>
      <c r="H48" s="13">
        <v>2331</v>
      </c>
      <c r="I48" s="13">
        <v>1813</v>
      </c>
      <c r="J48" s="55"/>
      <c r="K48" s="62"/>
      <c r="L48" s="62"/>
    </row>
    <row r="49" spans="1:13" x14ac:dyDescent="0.3">
      <c r="A49" s="58">
        <v>37</v>
      </c>
      <c r="B49" s="6" t="s">
        <v>42</v>
      </c>
      <c r="C49" s="8" t="s">
        <v>49</v>
      </c>
      <c r="D49" s="9"/>
      <c r="E49" s="69">
        <v>378</v>
      </c>
      <c r="F49" s="13"/>
      <c r="G49" s="69">
        <v>378</v>
      </c>
      <c r="H49" s="13"/>
      <c r="I49" s="13">
        <v>341.25</v>
      </c>
      <c r="J49" s="55"/>
      <c r="K49" s="62"/>
      <c r="L49" s="62"/>
    </row>
    <row r="50" spans="1:13" x14ac:dyDescent="0.3">
      <c r="A50" s="58">
        <v>38</v>
      </c>
      <c r="B50" s="6" t="s">
        <v>37</v>
      </c>
      <c r="C50" s="8" t="s">
        <v>50</v>
      </c>
      <c r="D50" s="9"/>
      <c r="E50" s="69"/>
      <c r="F50" s="13"/>
      <c r="G50" s="69">
        <v>2052</v>
      </c>
      <c r="H50" s="13"/>
      <c r="I50" s="13">
        <v>1813</v>
      </c>
      <c r="J50" s="55"/>
      <c r="K50" s="62"/>
      <c r="L50" s="62"/>
    </row>
    <row r="51" spans="1:13" x14ac:dyDescent="0.3">
      <c r="A51" s="58">
        <v>39</v>
      </c>
      <c r="B51" s="6" t="s">
        <v>42</v>
      </c>
      <c r="C51" s="8" t="s">
        <v>51</v>
      </c>
      <c r="D51" s="9"/>
      <c r="E51" s="69"/>
      <c r="F51" s="13">
        <v>2920</v>
      </c>
      <c r="G51" s="69">
        <v>2350</v>
      </c>
      <c r="H51" s="13">
        <v>2920</v>
      </c>
      <c r="I51" s="13">
        <v>2350</v>
      </c>
      <c r="J51" s="55"/>
      <c r="K51" s="62"/>
      <c r="L51" s="62"/>
    </row>
    <row r="52" spans="1:13" x14ac:dyDescent="0.3">
      <c r="A52" s="58">
        <v>40</v>
      </c>
      <c r="B52" s="6" t="s">
        <v>44</v>
      </c>
      <c r="C52" s="8" t="s">
        <v>52</v>
      </c>
      <c r="D52" s="9"/>
      <c r="E52" s="13"/>
      <c r="F52" s="13"/>
      <c r="G52" s="13"/>
      <c r="H52" s="13"/>
      <c r="I52" s="13"/>
      <c r="J52" s="55"/>
      <c r="K52" s="62"/>
      <c r="L52" s="62"/>
    </row>
    <row r="53" spans="1:13" x14ac:dyDescent="0.3">
      <c r="A53" s="58">
        <v>41</v>
      </c>
      <c r="B53" s="6" t="s">
        <v>53</v>
      </c>
      <c r="C53" s="11" t="s">
        <v>54</v>
      </c>
      <c r="D53" s="12"/>
      <c r="E53" s="13">
        <v>1150</v>
      </c>
      <c r="F53" s="13">
        <v>1150</v>
      </c>
      <c r="G53" s="13">
        <v>1300</v>
      </c>
      <c r="H53" s="13">
        <v>1300</v>
      </c>
      <c r="I53" s="13"/>
      <c r="J53" s="55"/>
      <c r="K53" s="56"/>
      <c r="L53" s="56"/>
    </row>
    <row r="54" spans="1:13" x14ac:dyDescent="0.3">
      <c r="A54" s="58">
        <v>42</v>
      </c>
      <c r="B54" s="4" t="s">
        <v>37</v>
      </c>
      <c r="C54" s="11" t="s">
        <v>55</v>
      </c>
      <c r="D54" s="11"/>
      <c r="E54" s="7">
        <v>500</v>
      </c>
      <c r="F54" s="7">
        <v>500</v>
      </c>
      <c r="G54" s="7">
        <v>600</v>
      </c>
      <c r="H54" s="7">
        <v>700</v>
      </c>
      <c r="I54" s="7"/>
      <c r="J54" s="55"/>
      <c r="K54" s="63"/>
      <c r="L54" s="63"/>
    </row>
    <row r="55" spans="1:13" x14ac:dyDescent="0.3">
      <c r="A55" s="53"/>
      <c r="B55" s="4" t="s">
        <v>56</v>
      </c>
      <c r="C55" s="11" t="s">
        <v>57</v>
      </c>
      <c r="D55" s="11"/>
      <c r="E55" s="7">
        <v>2100</v>
      </c>
      <c r="F55" s="7">
        <v>2500</v>
      </c>
      <c r="G55" s="7">
        <v>2100</v>
      </c>
      <c r="H55" s="7">
        <v>2500</v>
      </c>
      <c r="I55" s="7"/>
      <c r="J55" s="55"/>
      <c r="K55" s="56"/>
      <c r="L55" s="56"/>
    </row>
    <row r="56" spans="1:13" x14ac:dyDescent="0.3">
      <c r="A56" s="53"/>
      <c r="B56" s="4"/>
      <c r="C56" s="11"/>
      <c r="D56" s="11"/>
      <c r="E56" s="7"/>
      <c r="F56" s="7"/>
      <c r="G56" s="7"/>
      <c r="H56" s="7"/>
      <c r="I56" s="7"/>
      <c r="J56" s="55"/>
      <c r="K56" s="56"/>
      <c r="L56" s="56"/>
    </row>
    <row r="57" spans="1:13" x14ac:dyDescent="0.3">
      <c r="A57" s="53" t="s">
        <v>58</v>
      </c>
      <c r="B57" s="4" t="s">
        <v>59</v>
      </c>
      <c r="C57" s="6"/>
      <c r="D57" s="6"/>
      <c r="E57" s="20">
        <f>SUM(E58:E62)</f>
        <v>10200</v>
      </c>
      <c r="F57" s="20">
        <f>SUM(F58:F62)</f>
        <v>10200</v>
      </c>
      <c r="G57" s="20">
        <f>SUM(G58:G62)</f>
        <v>14000</v>
      </c>
      <c r="H57" s="20">
        <f>SUM(H58:H62)</f>
        <v>14000</v>
      </c>
      <c r="I57" s="20">
        <f>SUM(I58:I62)</f>
        <v>15500</v>
      </c>
      <c r="J57" s="55"/>
      <c r="K57" s="56"/>
      <c r="L57" s="56"/>
    </row>
    <row r="58" spans="1:13" x14ac:dyDescent="0.3">
      <c r="A58" s="58">
        <v>43</v>
      </c>
      <c r="B58" s="6" t="s">
        <v>60</v>
      </c>
      <c r="C58" s="8" t="s">
        <v>61</v>
      </c>
      <c r="D58" s="8"/>
      <c r="E58" s="7">
        <v>2500</v>
      </c>
      <c r="F58" s="7">
        <v>2500</v>
      </c>
      <c r="G58" s="7">
        <v>3000</v>
      </c>
      <c r="H58" s="7">
        <v>3000</v>
      </c>
      <c r="I58" s="7">
        <v>1000</v>
      </c>
      <c r="J58" s="55"/>
      <c r="K58" s="56"/>
      <c r="L58" s="56"/>
    </row>
    <row r="59" spans="1:13" x14ac:dyDescent="0.3">
      <c r="A59" s="26"/>
      <c r="B59" s="4" t="s">
        <v>62</v>
      </c>
      <c r="C59" s="8" t="s">
        <v>63</v>
      </c>
      <c r="D59" s="8"/>
      <c r="E59" s="3"/>
      <c r="F59" s="3"/>
      <c r="G59" s="3"/>
      <c r="H59" s="3"/>
      <c r="I59" s="3"/>
      <c r="J59" s="47"/>
      <c r="K59" s="52"/>
      <c r="L59" s="52"/>
    </row>
    <row r="60" spans="1:13" x14ac:dyDescent="0.3">
      <c r="A60" s="58">
        <v>44</v>
      </c>
      <c r="B60" s="6"/>
      <c r="C60" s="8" t="s">
        <v>64</v>
      </c>
      <c r="D60" s="8"/>
      <c r="E60" s="7">
        <v>4000</v>
      </c>
      <c r="F60" s="7">
        <v>4000</v>
      </c>
      <c r="G60" s="7">
        <v>6000</v>
      </c>
      <c r="H60" s="7">
        <v>6000</v>
      </c>
      <c r="I60" s="7">
        <v>6000</v>
      </c>
      <c r="J60" s="55"/>
      <c r="K60" s="56"/>
      <c r="L60" s="56"/>
    </row>
    <row r="61" spans="1:13" x14ac:dyDescent="0.3">
      <c r="A61" s="58">
        <v>45</v>
      </c>
      <c r="B61" s="6"/>
      <c r="C61" s="8" t="s">
        <v>65</v>
      </c>
      <c r="D61" s="8"/>
      <c r="E61" s="7">
        <v>3700</v>
      </c>
      <c r="F61" s="7">
        <v>3700</v>
      </c>
      <c r="G61" s="7">
        <v>5000</v>
      </c>
      <c r="H61" s="7">
        <v>5000</v>
      </c>
      <c r="I61" s="7">
        <v>7000</v>
      </c>
      <c r="J61" s="55"/>
      <c r="K61" s="56"/>
      <c r="L61" s="56"/>
    </row>
    <row r="62" spans="1:13" x14ac:dyDescent="0.3">
      <c r="A62" s="58">
        <v>46</v>
      </c>
      <c r="B62" s="6"/>
      <c r="C62" s="8" t="s">
        <v>66</v>
      </c>
      <c r="D62" s="8"/>
      <c r="E62" s="7"/>
      <c r="F62" s="7"/>
      <c r="G62" s="7"/>
      <c r="H62" s="7"/>
      <c r="I62" s="7">
        <v>1500</v>
      </c>
      <c r="J62" s="55"/>
      <c r="K62" s="56"/>
      <c r="L62" s="56"/>
    </row>
    <row r="63" spans="1:13" x14ac:dyDescent="0.3">
      <c r="A63" s="58"/>
      <c r="B63" s="6"/>
      <c r="C63" s="6"/>
      <c r="D63" s="6"/>
      <c r="E63" s="7"/>
      <c r="F63" s="7"/>
      <c r="G63" s="7"/>
      <c r="H63" s="7"/>
      <c r="I63" s="7"/>
      <c r="J63" s="55"/>
      <c r="K63" s="56"/>
      <c r="L63" s="56"/>
      <c r="M63" s="1"/>
    </row>
    <row r="64" spans="1:13" x14ac:dyDescent="0.3">
      <c r="A64" s="53" t="s">
        <v>67</v>
      </c>
      <c r="B64" s="4" t="s">
        <v>68</v>
      </c>
      <c r="C64" s="6"/>
      <c r="D64" s="6"/>
      <c r="E64" s="20">
        <f>SUM(E65:E71)</f>
        <v>4175</v>
      </c>
      <c r="F64" s="20">
        <f>SUM(F65:F71)</f>
        <v>3900</v>
      </c>
      <c r="G64" s="20">
        <f>SUM(G65:G71)</f>
        <v>4725</v>
      </c>
      <c r="H64" s="20">
        <f>SUM(H65:H71)</f>
        <v>4450</v>
      </c>
      <c r="I64" s="20">
        <f>SUM(I65:I71)</f>
        <v>4075</v>
      </c>
      <c r="J64" s="55"/>
      <c r="K64" s="56"/>
      <c r="L64" s="56"/>
      <c r="M64" s="1"/>
    </row>
    <row r="65" spans="1:13" x14ac:dyDescent="0.3">
      <c r="A65" s="58">
        <v>47</v>
      </c>
      <c r="B65" s="6" t="s">
        <v>68</v>
      </c>
      <c r="C65" s="11" t="s">
        <v>69</v>
      </c>
      <c r="D65" s="11"/>
      <c r="E65" s="7">
        <v>1375</v>
      </c>
      <c r="F65" s="7">
        <v>1100</v>
      </c>
      <c r="G65" s="7">
        <v>1925</v>
      </c>
      <c r="H65" s="7">
        <v>1650</v>
      </c>
      <c r="I65" s="7">
        <f>175*8</f>
        <v>1400</v>
      </c>
      <c r="J65" s="47"/>
      <c r="K65" s="57"/>
      <c r="L65" s="57"/>
      <c r="M65" s="1"/>
    </row>
    <row r="66" spans="1:13" x14ac:dyDescent="0.3">
      <c r="A66" s="58">
        <v>48</v>
      </c>
      <c r="B66" s="6" t="s">
        <v>68</v>
      </c>
      <c r="C66" s="8" t="s">
        <v>70</v>
      </c>
      <c r="D66" s="8"/>
      <c r="E66" s="7"/>
      <c r="F66" s="7"/>
      <c r="G66" s="7"/>
      <c r="H66" s="7"/>
      <c r="I66" s="7"/>
      <c r="J66" s="55"/>
      <c r="K66" s="56"/>
      <c r="L66" s="56"/>
      <c r="M66" s="1"/>
    </row>
    <row r="67" spans="1:13" x14ac:dyDescent="0.3">
      <c r="A67" s="58">
        <v>49</v>
      </c>
      <c r="B67" s="6" t="s">
        <v>68</v>
      </c>
      <c r="C67" s="8" t="s">
        <v>71</v>
      </c>
      <c r="D67" s="8"/>
      <c r="E67" s="7"/>
      <c r="F67" s="7"/>
      <c r="G67" s="7"/>
      <c r="H67" s="7"/>
      <c r="I67" s="7"/>
      <c r="J67" s="55"/>
      <c r="K67" s="56"/>
      <c r="L67" s="56"/>
      <c r="M67" s="1"/>
    </row>
    <row r="68" spans="1:13" x14ac:dyDescent="0.3">
      <c r="A68" s="58"/>
      <c r="B68" s="6" t="s">
        <v>68</v>
      </c>
      <c r="C68" s="8" t="s">
        <v>135</v>
      </c>
      <c r="D68" s="8"/>
      <c r="E68" s="7"/>
      <c r="F68" s="7"/>
      <c r="G68" s="7"/>
      <c r="H68" s="7"/>
      <c r="I68" s="7"/>
      <c r="J68" s="55"/>
      <c r="K68" s="56"/>
      <c r="L68" s="56"/>
      <c r="M68" s="1"/>
    </row>
    <row r="69" spans="1:13" x14ac:dyDescent="0.3">
      <c r="A69" s="58"/>
      <c r="B69" s="6" t="s">
        <v>68</v>
      </c>
      <c r="C69" s="8" t="s">
        <v>136</v>
      </c>
      <c r="D69" s="8"/>
      <c r="E69" s="7"/>
      <c r="F69" s="7"/>
      <c r="G69" s="7"/>
      <c r="H69" s="7"/>
      <c r="I69" s="7"/>
      <c r="J69" s="55"/>
      <c r="K69" s="56"/>
      <c r="L69" s="56"/>
      <c r="M69" s="1"/>
    </row>
    <row r="70" spans="1:13" x14ac:dyDescent="0.3">
      <c r="A70" s="58">
        <v>50</v>
      </c>
      <c r="B70" s="6" t="s">
        <v>68</v>
      </c>
      <c r="C70" s="11" t="s">
        <v>72</v>
      </c>
      <c r="D70" s="11"/>
      <c r="E70" s="7">
        <v>2500</v>
      </c>
      <c r="F70" s="7">
        <v>2500</v>
      </c>
      <c r="G70" s="7">
        <v>2500</v>
      </c>
      <c r="H70" s="7">
        <v>2500</v>
      </c>
      <c r="I70" s="7">
        <v>2500</v>
      </c>
      <c r="J70" s="55"/>
      <c r="K70" s="57"/>
      <c r="L70" s="57"/>
      <c r="M70" s="1"/>
    </row>
    <row r="71" spans="1:13" x14ac:dyDescent="0.3">
      <c r="A71" s="58">
        <v>51</v>
      </c>
      <c r="B71" s="6" t="s">
        <v>68</v>
      </c>
      <c r="C71" s="8" t="s">
        <v>73</v>
      </c>
      <c r="D71" s="8"/>
      <c r="E71" s="7">
        <v>300</v>
      </c>
      <c r="F71" s="7">
        <v>300</v>
      </c>
      <c r="G71" s="7">
        <v>300</v>
      </c>
      <c r="H71" s="7">
        <v>300</v>
      </c>
      <c r="I71" s="7">
        <v>175</v>
      </c>
      <c r="J71" s="55"/>
      <c r="K71" s="56"/>
      <c r="L71" s="56"/>
      <c r="M71" s="1"/>
    </row>
    <row r="72" spans="1:13" x14ac:dyDescent="0.3">
      <c r="A72" s="53" t="s">
        <v>74</v>
      </c>
      <c r="B72" s="4" t="s">
        <v>75</v>
      </c>
      <c r="C72" s="6"/>
      <c r="D72" s="6"/>
      <c r="E72" s="7"/>
      <c r="F72" s="7"/>
      <c r="G72" s="7"/>
      <c r="H72" s="7"/>
      <c r="I72" s="7"/>
      <c r="J72" s="55"/>
      <c r="K72" s="56"/>
      <c r="L72" s="56"/>
      <c r="M72" s="1"/>
    </row>
    <row r="73" spans="1:13" x14ac:dyDescent="0.3">
      <c r="A73" s="58">
        <v>52</v>
      </c>
      <c r="B73" s="6" t="s">
        <v>75</v>
      </c>
      <c r="C73" s="8" t="s">
        <v>76</v>
      </c>
      <c r="D73" s="8"/>
      <c r="E73" s="7"/>
      <c r="F73" s="7"/>
      <c r="G73" s="7"/>
      <c r="H73" s="7"/>
      <c r="I73" s="7"/>
      <c r="J73" s="55"/>
      <c r="K73" s="56"/>
      <c r="L73" s="56"/>
      <c r="M73" s="1"/>
    </row>
    <row r="74" spans="1:13" x14ac:dyDescent="0.3">
      <c r="A74" s="58">
        <v>53</v>
      </c>
      <c r="B74" s="6" t="s">
        <v>75</v>
      </c>
      <c r="C74" s="8" t="s">
        <v>77</v>
      </c>
      <c r="D74" s="8"/>
      <c r="E74" s="7"/>
      <c r="F74" s="7"/>
      <c r="G74" s="7"/>
      <c r="H74" s="7"/>
      <c r="I74" s="7"/>
      <c r="J74" s="55"/>
      <c r="K74" s="56"/>
      <c r="L74" s="56"/>
      <c r="M74" s="1"/>
    </row>
    <row r="75" spans="1:13" x14ac:dyDescent="0.3">
      <c r="A75" s="58"/>
      <c r="B75" s="6"/>
      <c r="C75" s="6"/>
      <c r="D75" s="6"/>
      <c r="E75" s="7"/>
      <c r="F75" s="7"/>
      <c r="G75" s="7"/>
      <c r="H75" s="7"/>
      <c r="I75" s="7"/>
      <c r="J75" s="55"/>
      <c r="K75" s="56"/>
      <c r="L75" s="56"/>
      <c r="M75" s="1"/>
    </row>
    <row r="76" spans="1:13" x14ac:dyDescent="0.3">
      <c r="A76" s="53" t="s">
        <v>78</v>
      </c>
      <c r="B76" s="4" t="s">
        <v>79</v>
      </c>
      <c r="C76" s="6"/>
      <c r="D76" s="6"/>
      <c r="E76" s="20">
        <f>SUM(E77:E85)</f>
        <v>12300</v>
      </c>
      <c r="F76" s="20">
        <f>SUM(F77:F85)</f>
        <v>12548</v>
      </c>
      <c r="G76" s="21">
        <f>SUM(G77:G85)</f>
        <v>16350</v>
      </c>
      <c r="H76" s="21">
        <f>SUM(H77:H85)</f>
        <v>17758</v>
      </c>
      <c r="I76" s="21">
        <f>SUM(I77:I85)</f>
        <v>15075</v>
      </c>
      <c r="J76" s="55"/>
      <c r="K76" s="52"/>
      <c r="L76" s="64"/>
      <c r="M76" s="1"/>
    </row>
    <row r="77" spans="1:13" x14ac:dyDescent="0.3">
      <c r="A77" s="58">
        <v>54</v>
      </c>
      <c r="B77" s="6" t="s">
        <v>79</v>
      </c>
      <c r="C77" s="8" t="s">
        <v>98</v>
      </c>
      <c r="D77" s="8"/>
      <c r="E77" s="7">
        <v>750</v>
      </c>
      <c r="F77" s="7">
        <v>767</v>
      </c>
      <c r="G77" s="13">
        <v>1000</v>
      </c>
      <c r="H77" s="13">
        <v>1088</v>
      </c>
      <c r="I77" s="13">
        <v>2500</v>
      </c>
      <c r="J77" s="55"/>
      <c r="K77" s="56"/>
      <c r="L77" s="45"/>
      <c r="M77" s="1"/>
    </row>
    <row r="78" spans="1:13" x14ac:dyDescent="0.3">
      <c r="A78" s="58">
        <v>55</v>
      </c>
      <c r="B78" s="6" t="s">
        <v>79</v>
      </c>
      <c r="C78" s="8" t="s">
        <v>80</v>
      </c>
      <c r="D78" s="8"/>
      <c r="E78" s="7">
        <v>2700</v>
      </c>
      <c r="F78" s="7">
        <v>2762</v>
      </c>
      <c r="G78" s="13">
        <v>3600</v>
      </c>
      <c r="H78" s="13">
        <v>3917</v>
      </c>
      <c r="I78" s="13">
        <f>2500*1.25</f>
        <v>3125</v>
      </c>
      <c r="J78" s="55"/>
      <c r="K78" s="56"/>
      <c r="L78" s="56"/>
      <c r="M78" s="1"/>
    </row>
    <row r="79" spans="1:13" x14ac:dyDescent="0.3">
      <c r="A79" s="58">
        <v>56</v>
      </c>
      <c r="B79" s="6" t="s">
        <v>79</v>
      </c>
      <c r="C79" s="8" t="s">
        <v>81</v>
      </c>
      <c r="D79" s="8"/>
      <c r="E79" s="7">
        <v>2250</v>
      </c>
      <c r="F79" s="7">
        <v>2303</v>
      </c>
      <c r="G79" s="13">
        <v>3000</v>
      </c>
      <c r="H79" s="13">
        <v>3264</v>
      </c>
      <c r="I79" s="13">
        <v>2500</v>
      </c>
      <c r="J79" s="55"/>
      <c r="K79" s="56"/>
      <c r="L79" s="56"/>
      <c r="M79" s="1"/>
    </row>
    <row r="80" spans="1:13" x14ac:dyDescent="0.3">
      <c r="A80" s="58">
        <v>57</v>
      </c>
      <c r="B80" s="6" t="s">
        <v>79</v>
      </c>
      <c r="C80" s="8" t="s">
        <v>82</v>
      </c>
      <c r="D80" s="8"/>
      <c r="E80" s="7">
        <v>1875</v>
      </c>
      <c r="F80" s="7">
        <v>1918</v>
      </c>
      <c r="G80" s="13">
        <v>2500</v>
      </c>
      <c r="H80" s="13">
        <v>2720</v>
      </c>
      <c r="I80" s="13">
        <v>2000</v>
      </c>
      <c r="J80" s="55"/>
      <c r="K80" s="56"/>
      <c r="L80" s="56"/>
      <c r="M80" s="1"/>
    </row>
    <row r="81" spans="1:13" x14ac:dyDescent="0.3">
      <c r="A81" s="58">
        <v>58</v>
      </c>
      <c r="B81" s="6" t="s">
        <v>79</v>
      </c>
      <c r="C81" s="8" t="s">
        <v>83</v>
      </c>
      <c r="D81" s="8"/>
      <c r="E81" s="7">
        <v>1500</v>
      </c>
      <c r="F81" s="7">
        <v>1534</v>
      </c>
      <c r="G81" s="13">
        <v>2000</v>
      </c>
      <c r="H81" s="13">
        <v>2176</v>
      </c>
      <c r="I81" s="13">
        <v>1700</v>
      </c>
      <c r="J81" s="55"/>
      <c r="K81" s="56"/>
      <c r="L81" s="56"/>
    </row>
    <row r="82" spans="1:13" x14ac:dyDescent="0.3">
      <c r="A82" s="58">
        <v>59</v>
      </c>
      <c r="B82" s="6" t="s">
        <v>79</v>
      </c>
      <c r="C82" s="8" t="s">
        <v>84</v>
      </c>
      <c r="D82" s="8"/>
      <c r="E82" s="7">
        <v>2100</v>
      </c>
      <c r="F82" s="7">
        <v>2257</v>
      </c>
      <c r="G82" s="13">
        <v>2800</v>
      </c>
      <c r="H82" s="13">
        <v>3046</v>
      </c>
      <c r="I82" s="13">
        <v>1700</v>
      </c>
      <c r="J82" s="55"/>
      <c r="K82" s="56"/>
      <c r="L82" s="56"/>
    </row>
    <row r="83" spans="1:13" x14ac:dyDescent="0.3">
      <c r="A83" s="58">
        <v>60</v>
      </c>
      <c r="B83" s="6" t="s">
        <v>79</v>
      </c>
      <c r="C83" s="8" t="s">
        <v>85</v>
      </c>
      <c r="D83" s="8"/>
      <c r="E83" s="7"/>
      <c r="F83" s="7"/>
      <c r="G83" s="7"/>
      <c r="H83" s="7"/>
      <c r="I83" s="7"/>
      <c r="J83" s="55"/>
      <c r="K83" s="56"/>
      <c r="L83" s="56"/>
    </row>
    <row r="84" spans="1:13" x14ac:dyDescent="0.3">
      <c r="A84" s="58">
        <v>61</v>
      </c>
      <c r="B84" s="6" t="s">
        <v>79</v>
      </c>
      <c r="C84" s="8" t="s">
        <v>86</v>
      </c>
      <c r="D84" s="8"/>
      <c r="E84" s="7">
        <v>300</v>
      </c>
      <c r="F84" s="7">
        <v>300</v>
      </c>
      <c r="G84" s="7">
        <v>350</v>
      </c>
      <c r="H84" s="7">
        <v>350</v>
      </c>
      <c r="I84" s="7">
        <v>450</v>
      </c>
      <c r="J84" s="55"/>
      <c r="K84" s="56"/>
      <c r="L84" s="56"/>
    </row>
    <row r="85" spans="1:13" x14ac:dyDescent="0.3">
      <c r="A85" s="58">
        <v>62</v>
      </c>
      <c r="B85" s="6" t="s">
        <v>79</v>
      </c>
      <c r="C85" s="8" t="s">
        <v>87</v>
      </c>
      <c r="D85" s="8"/>
      <c r="E85" s="7">
        <v>825</v>
      </c>
      <c r="F85" s="7">
        <v>707</v>
      </c>
      <c r="G85" s="7">
        <v>1100</v>
      </c>
      <c r="H85" s="7">
        <v>1197</v>
      </c>
      <c r="I85" s="7">
        <v>1100</v>
      </c>
      <c r="J85" s="55"/>
      <c r="K85" s="56"/>
      <c r="L85" s="56"/>
    </row>
    <row r="86" spans="1:13" x14ac:dyDescent="0.3">
      <c r="A86" s="58"/>
      <c r="B86" s="6"/>
      <c r="C86" s="6"/>
      <c r="D86" s="15"/>
      <c r="E86" s="16"/>
      <c r="F86" s="16"/>
      <c r="G86" s="16"/>
      <c r="H86" s="16"/>
      <c r="I86" s="16"/>
      <c r="J86" s="55"/>
      <c r="K86" s="56"/>
      <c r="L86" s="56"/>
    </row>
    <row r="87" spans="1:13" x14ac:dyDescent="0.3">
      <c r="A87" s="53" t="s">
        <v>88</v>
      </c>
      <c r="B87" s="4" t="s">
        <v>89</v>
      </c>
      <c r="C87" s="6"/>
      <c r="D87" s="6"/>
      <c r="E87" s="7"/>
      <c r="F87" s="7"/>
      <c r="G87" s="7"/>
      <c r="H87" s="7"/>
      <c r="I87" s="7"/>
      <c r="J87" s="55"/>
      <c r="K87" s="56"/>
      <c r="L87" s="56"/>
    </row>
    <row r="88" spans="1:13" x14ac:dyDescent="0.3">
      <c r="A88" s="58">
        <v>63</v>
      </c>
      <c r="B88" s="6" t="s">
        <v>90</v>
      </c>
      <c r="C88" s="8" t="s">
        <v>91</v>
      </c>
      <c r="D88" s="8"/>
      <c r="E88" s="7"/>
      <c r="F88" s="7"/>
      <c r="G88" s="7"/>
      <c r="H88" s="7"/>
      <c r="I88" s="7"/>
      <c r="J88" s="55"/>
      <c r="K88" s="56"/>
      <c r="L88" s="56"/>
    </row>
    <row r="89" spans="1:13" x14ac:dyDescent="0.3">
      <c r="A89" s="58"/>
      <c r="B89" s="6"/>
      <c r="C89" s="8"/>
      <c r="D89" s="8"/>
      <c r="E89" s="7"/>
      <c r="F89" s="7"/>
      <c r="G89" s="7"/>
      <c r="H89" s="7"/>
      <c r="I89" s="7"/>
      <c r="J89" s="55"/>
      <c r="K89" s="56"/>
      <c r="L89" s="56"/>
    </row>
    <row r="90" spans="1:13" x14ac:dyDescent="0.3">
      <c r="A90" s="53" t="s">
        <v>92</v>
      </c>
      <c r="B90" s="4" t="s">
        <v>93</v>
      </c>
      <c r="C90" s="65"/>
      <c r="D90" s="65"/>
      <c r="E90" s="7"/>
      <c r="F90" s="7"/>
      <c r="G90" s="7"/>
      <c r="H90" s="7"/>
      <c r="I90" s="7"/>
      <c r="J90" s="55"/>
      <c r="K90" s="56"/>
      <c r="L90" s="56"/>
    </row>
    <row r="91" spans="1:13" s="5" customFormat="1" x14ac:dyDescent="0.3">
      <c r="A91" s="26">
        <v>64</v>
      </c>
      <c r="B91" s="4" t="s">
        <v>90</v>
      </c>
      <c r="C91" s="4" t="s">
        <v>94</v>
      </c>
      <c r="D91" s="4"/>
      <c r="E91" s="3">
        <v>1300</v>
      </c>
      <c r="F91" s="3">
        <v>1040</v>
      </c>
      <c r="G91" s="3">
        <v>1820</v>
      </c>
      <c r="H91" s="3">
        <v>1560</v>
      </c>
      <c r="I91" s="3">
        <f>250*7</f>
        <v>1750</v>
      </c>
      <c r="J91" s="47"/>
      <c r="K91" s="57"/>
      <c r="L91" s="57"/>
      <c r="M91" s="18"/>
    </row>
    <row r="92" spans="1:13" ht="19.5" thickBot="1" x14ac:dyDescent="0.35">
      <c r="A92" s="66"/>
      <c r="B92" s="19"/>
      <c r="C92" s="19"/>
      <c r="D92" s="8"/>
      <c r="E92" s="7"/>
      <c r="F92" s="7"/>
      <c r="G92" s="7"/>
      <c r="H92" s="7"/>
      <c r="I92" s="7"/>
      <c r="J92" s="55"/>
      <c r="K92" s="56"/>
      <c r="L92" s="56"/>
    </row>
    <row r="93" spans="1:13" x14ac:dyDescent="0.3">
      <c r="B93" s="26"/>
      <c r="E93" s="17"/>
      <c r="F93" s="17"/>
      <c r="G93" s="17"/>
      <c r="H93" s="17"/>
      <c r="I93" s="17"/>
      <c r="J93" s="17"/>
      <c r="K93" s="1"/>
      <c r="L93" s="1"/>
    </row>
    <row r="94" spans="1:13" x14ac:dyDescent="0.3">
      <c r="B94" s="26"/>
      <c r="E94" s="17"/>
      <c r="F94" s="17"/>
      <c r="G94" s="17"/>
      <c r="H94" s="17"/>
      <c r="I94" s="17"/>
      <c r="J94" s="17"/>
      <c r="K94" s="1"/>
      <c r="L94" s="1"/>
    </row>
    <row r="95" spans="1:13" x14ac:dyDescent="0.3">
      <c r="B95" s="26"/>
      <c r="C95" s="68" t="s">
        <v>138</v>
      </c>
      <c r="E95" s="17"/>
      <c r="F95" s="17"/>
      <c r="G95" s="17"/>
      <c r="H95" s="17"/>
      <c r="I95" s="17"/>
      <c r="J95" s="17"/>
      <c r="K95" s="1"/>
      <c r="L95" s="1"/>
    </row>
    <row r="96" spans="1:13" x14ac:dyDescent="0.3">
      <c r="B96" s="53" t="s">
        <v>35</v>
      </c>
      <c r="C96" s="4" t="s">
        <v>36</v>
      </c>
      <c r="D96" s="4"/>
      <c r="E96" s="4"/>
      <c r="F96" s="7"/>
      <c r="G96" s="7"/>
      <c r="H96" s="7"/>
      <c r="I96" s="7"/>
      <c r="J96" s="7"/>
      <c r="K96" s="47"/>
      <c r="L96" s="1"/>
    </row>
    <row r="97" spans="2:13" x14ac:dyDescent="0.3">
      <c r="B97" s="58">
        <v>27</v>
      </c>
      <c r="C97" s="4" t="s">
        <v>37</v>
      </c>
      <c r="D97" s="4" t="s">
        <v>38</v>
      </c>
      <c r="E97" s="4"/>
      <c r="F97" s="21">
        <f>SUM(F98:F113)</f>
        <v>11142</v>
      </c>
      <c r="G97" s="21">
        <f>SUM(G98:G113)</f>
        <v>22880</v>
      </c>
      <c r="H97" s="21">
        <f>SUM(H98:H113)</f>
        <v>18350</v>
      </c>
      <c r="I97" s="21">
        <f>SUM(I98:I113)</f>
        <v>23372</v>
      </c>
      <c r="J97" s="21">
        <f>SUM(J98:J113)</f>
        <v>20650.0236</v>
      </c>
      <c r="K97" s="61"/>
      <c r="L97" s="1"/>
      <c r="M97" s="1"/>
    </row>
    <row r="98" spans="2:13" x14ac:dyDescent="0.3">
      <c r="B98" s="58">
        <v>28</v>
      </c>
      <c r="C98" s="6" t="s">
        <v>37</v>
      </c>
      <c r="D98" s="8" t="s">
        <v>39</v>
      </c>
      <c r="E98" s="9"/>
      <c r="F98" s="13">
        <v>4704</v>
      </c>
      <c r="G98" s="13">
        <v>4684</v>
      </c>
      <c r="H98" s="13">
        <v>7000</v>
      </c>
      <c r="I98" s="13">
        <v>6762</v>
      </c>
      <c r="J98" s="13">
        <v>9968</v>
      </c>
      <c r="K98" s="55"/>
      <c r="L98" s="1"/>
      <c r="M98" s="1"/>
    </row>
    <row r="99" spans="2:13" x14ac:dyDescent="0.3">
      <c r="B99" s="58">
        <v>29</v>
      </c>
      <c r="C99" s="10"/>
      <c r="D99" s="8" t="s">
        <v>39</v>
      </c>
      <c r="E99" s="9"/>
      <c r="F99" s="13">
        <v>0</v>
      </c>
      <c r="G99" s="13">
        <v>2273</v>
      </c>
      <c r="H99" s="13">
        <v>364</v>
      </c>
      <c r="I99" s="13">
        <v>337</v>
      </c>
      <c r="J99" s="13">
        <v>364</v>
      </c>
      <c r="K99" s="55"/>
      <c r="L99" s="1"/>
      <c r="M99" s="1"/>
    </row>
    <row r="100" spans="2:13" x14ac:dyDescent="0.3">
      <c r="B100" s="58">
        <v>30</v>
      </c>
      <c r="C100" s="6" t="s">
        <v>37</v>
      </c>
      <c r="D100" s="8" t="s">
        <v>40</v>
      </c>
      <c r="E100" s="9"/>
      <c r="F100" s="13">
        <v>0</v>
      </c>
      <c r="G100" s="13">
        <v>531</v>
      </c>
      <c r="H100" s="13">
        <v>826</v>
      </c>
      <c r="I100" s="13">
        <v>531</v>
      </c>
      <c r="J100" s="13">
        <v>250.25</v>
      </c>
      <c r="K100" s="55"/>
      <c r="L100" s="1"/>
      <c r="M100" s="1"/>
    </row>
    <row r="101" spans="2:13" x14ac:dyDescent="0.3">
      <c r="B101" s="58">
        <v>31</v>
      </c>
      <c r="C101" s="6" t="s">
        <v>37</v>
      </c>
      <c r="D101" s="8" t="s">
        <v>41</v>
      </c>
      <c r="E101" s="9"/>
      <c r="F101" s="13">
        <v>826</v>
      </c>
      <c r="G101" s="13">
        <v>1250</v>
      </c>
      <c r="H101" s="13">
        <v>420</v>
      </c>
      <c r="I101" s="13">
        <v>1250</v>
      </c>
      <c r="J101" s="13">
        <v>693</v>
      </c>
      <c r="K101" s="55"/>
      <c r="L101" s="1"/>
      <c r="M101" s="1"/>
    </row>
    <row r="102" spans="2:13" x14ac:dyDescent="0.3">
      <c r="B102" s="58">
        <v>32</v>
      </c>
      <c r="C102" s="6" t="s">
        <v>42</v>
      </c>
      <c r="D102" s="8" t="s">
        <v>43</v>
      </c>
      <c r="E102" s="9"/>
      <c r="F102" s="13">
        <v>420</v>
      </c>
      <c r="G102" s="13">
        <v>650</v>
      </c>
      <c r="H102" s="13">
        <v>168</v>
      </c>
      <c r="I102" s="13">
        <v>650</v>
      </c>
      <c r="J102" s="13">
        <v>411.25</v>
      </c>
      <c r="K102" s="55"/>
      <c r="L102" s="1"/>
      <c r="M102" s="1"/>
    </row>
    <row r="103" spans="2:13" x14ac:dyDescent="0.3">
      <c r="B103" s="58">
        <v>33</v>
      </c>
      <c r="C103" s="6" t="s">
        <v>44</v>
      </c>
      <c r="D103" s="8" t="s">
        <v>45</v>
      </c>
      <c r="E103" s="9"/>
      <c r="F103" s="13">
        <v>168</v>
      </c>
      <c r="G103" s="13">
        <v>544</v>
      </c>
      <c r="H103" s="13">
        <v>308</v>
      </c>
      <c r="I103" s="13">
        <v>544</v>
      </c>
      <c r="J103" s="13">
        <v>347.97840000000008</v>
      </c>
      <c r="K103" s="55"/>
      <c r="L103" s="1"/>
      <c r="M103" s="1"/>
    </row>
    <row r="104" spans="2:13" x14ac:dyDescent="0.3">
      <c r="B104" s="58">
        <v>34</v>
      </c>
      <c r="C104" s="6" t="s">
        <v>37</v>
      </c>
      <c r="D104" s="8" t="s">
        <v>46</v>
      </c>
      <c r="E104" s="9"/>
      <c r="F104" s="13">
        <v>1092</v>
      </c>
      <c r="G104" s="13">
        <v>2910</v>
      </c>
      <c r="H104" s="13">
        <v>1092</v>
      </c>
      <c r="I104" s="13">
        <v>2910</v>
      </c>
      <c r="J104" s="13">
        <v>1834.7952</v>
      </c>
      <c r="K104" s="55"/>
      <c r="L104" s="1"/>
      <c r="M104" s="1"/>
    </row>
    <row r="105" spans="2:13" x14ac:dyDescent="0.3">
      <c r="B105" s="58">
        <v>35</v>
      </c>
      <c r="C105" s="6" t="s">
        <v>42</v>
      </c>
      <c r="D105" s="8" t="s">
        <v>47</v>
      </c>
      <c r="E105" s="9"/>
      <c r="F105" s="13">
        <v>308</v>
      </c>
      <c r="G105" s="13">
        <v>378</v>
      </c>
      <c r="H105" s="13">
        <v>924</v>
      </c>
      <c r="I105" s="13">
        <v>378</v>
      </c>
      <c r="J105" s="13">
        <v>318.5</v>
      </c>
      <c r="K105" s="55"/>
      <c r="L105" s="1"/>
      <c r="M105" s="1"/>
    </row>
    <row r="106" spans="2:13" x14ac:dyDescent="0.3">
      <c r="B106" s="58">
        <v>36</v>
      </c>
      <c r="C106" s="6" t="s">
        <v>37</v>
      </c>
      <c r="D106" s="8" t="s">
        <v>48</v>
      </c>
      <c r="E106" s="9"/>
      <c r="F106" s="13">
        <v>924</v>
      </c>
      <c r="G106" s="13">
        <v>2590</v>
      </c>
      <c r="H106" s="13">
        <v>900</v>
      </c>
      <c r="I106" s="13">
        <v>2590</v>
      </c>
      <c r="J106" s="13">
        <v>1813</v>
      </c>
      <c r="K106" s="55"/>
      <c r="L106" s="1"/>
      <c r="M106" s="1"/>
    </row>
    <row r="107" spans="2:13" x14ac:dyDescent="0.3">
      <c r="B107" s="58">
        <v>37</v>
      </c>
      <c r="C107" s="6" t="s">
        <v>42</v>
      </c>
      <c r="D107" s="8" t="s">
        <v>49</v>
      </c>
      <c r="E107" s="9"/>
      <c r="F107" s="13"/>
      <c r="G107" s="13"/>
      <c r="H107" s="13">
        <v>294</v>
      </c>
      <c r="I107" s="13"/>
      <c r="J107" s="13">
        <v>341.25</v>
      </c>
      <c r="K107" s="55"/>
      <c r="L107" s="1"/>
      <c r="M107" s="1"/>
    </row>
    <row r="108" spans="2:13" x14ac:dyDescent="0.3">
      <c r="B108" s="58">
        <v>38</v>
      </c>
      <c r="C108" s="6" t="s">
        <v>37</v>
      </c>
      <c r="D108" s="8" t="s">
        <v>50</v>
      </c>
      <c r="E108" s="9"/>
      <c r="F108" s="13"/>
      <c r="G108" s="13"/>
      <c r="H108" s="13">
        <v>294</v>
      </c>
      <c r="I108" s="13"/>
      <c r="J108" s="13">
        <v>1813</v>
      </c>
      <c r="K108" s="55"/>
      <c r="L108" s="1"/>
      <c r="M108" s="1"/>
    </row>
    <row r="109" spans="2:13" x14ac:dyDescent="0.3">
      <c r="B109" s="58">
        <v>39</v>
      </c>
      <c r="C109" s="6" t="s">
        <v>42</v>
      </c>
      <c r="D109" s="8" t="s">
        <v>51</v>
      </c>
      <c r="E109" s="9"/>
      <c r="F109" s="13"/>
      <c r="G109" s="13">
        <v>2920</v>
      </c>
      <c r="H109" s="13">
        <v>2550</v>
      </c>
      <c r="I109" s="13">
        <v>2920</v>
      </c>
      <c r="J109" s="13">
        <v>2350</v>
      </c>
      <c r="K109" s="55"/>
      <c r="L109" s="1"/>
      <c r="M109" s="1"/>
    </row>
    <row r="110" spans="2:13" x14ac:dyDescent="0.3">
      <c r="B110" s="58">
        <v>40</v>
      </c>
      <c r="C110" s="6" t="s">
        <v>44</v>
      </c>
      <c r="D110" s="8" t="s">
        <v>52</v>
      </c>
      <c r="E110" s="9"/>
      <c r="F110" s="13"/>
      <c r="G110" s="13">
        <v>1150</v>
      </c>
      <c r="H110" s="13">
        <v>310</v>
      </c>
      <c r="I110" s="13">
        <v>1300</v>
      </c>
      <c r="J110" s="13">
        <v>145</v>
      </c>
      <c r="K110" s="55"/>
      <c r="L110" s="1"/>
      <c r="M110" s="1"/>
    </row>
    <row r="111" spans="2:13" x14ac:dyDescent="0.3">
      <c r="B111" s="58">
        <v>41</v>
      </c>
      <c r="C111" s="6" t="s">
        <v>53</v>
      </c>
      <c r="D111" s="11" t="s">
        <v>54</v>
      </c>
      <c r="E111" s="12"/>
      <c r="F111" s="13"/>
      <c r="G111" s="13"/>
      <c r="H111" s="13"/>
      <c r="I111" s="13"/>
      <c r="J111" s="13"/>
      <c r="K111" s="55"/>
      <c r="L111" s="1"/>
      <c r="M111" s="1"/>
    </row>
    <row r="112" spans="2:13" x14ac:dyDescent="0.3">
      <c r="B112" s="58">
        <v>42</v>
      </c>
      <c r="C112" s="4" t="s">
        <v>37</v>
      </c>
      <c r="D112" s="11" t="s">
        <v>55</v>
      </c>
      <c r="E112" s="11"/>
      <c r="F112" s="7">
        <v>500</v>
      </c>
      <c r="G112" s="7">
        <v>500</v>
      </c>
      <c r="H112" s="7">
        <v>700</v>
      </c>
      <c r="I112" s="7">
        <v>700</v>
      </c>
      <c r="J112" s="7"/>
      <c r="K112" s="55"/>
      <c r="L112" s="1"/>
      <c r="M112" s="1"/>
    </row>
    <row r="113" spans="2:13" x14ac:dyDescent="0.3">
      <c r="B113" s="53"/>
      <c r="C113" s="4" t="s">
        <v>56</v>
      </c>
      <c r="D113" s="11" t="s">
        <v>57</v>
      </c>
      <c r="E113" s="11"/>
      <c r="F113" s="7">
        <v>2200</v>
      </c>
      <c r="G113" s="7">
        <v>2500</v>
      </c>
      <c r="H113" s="7">
        <v>2200</v>
      </c>
      <c r="I113" s="7">
        <v>2500</v>
      </c>
      <c r="J113" s="7"/>
      <c r="K113" s="55"/>
      <c r="L113" s="1"/>
      <c r="M113" s="1"/>
    </row>
    <row r="114" spans="2:13" x14ac:dyDescent="0.25">
      <c r="B114" s="26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26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26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26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26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26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26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26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26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26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26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26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26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26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26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26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26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26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26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26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26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26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26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26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26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26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26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26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26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26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26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26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26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26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26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26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26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26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26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26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26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26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26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26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26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26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26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26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26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26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26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26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26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26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26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26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26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26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26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26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26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26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26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26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26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26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26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26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26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26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26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26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26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26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26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26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26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26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26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26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26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26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26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26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26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26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26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26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26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26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26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26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26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26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26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26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26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26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26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26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26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26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26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26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26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26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26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26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26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26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26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26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26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26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26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25">
      <c r="B229" s="26"/>
      <c r="E229" s="1"/>
      <c r="F229" s="1"/>
      <c r="G229" s="1"/>
      <c r="H229" s="1"/>
      <c r="I229" s="1"/>
      <c r="J229" s="1"/>
      <c r="K229" s="1"/>
      <c r="L229" s="1"/>
      <c r="M229" s="1"/>
    </row>
    <row r="230" spans="2:13" x14ac:dyDescent="0.25">
      <c r="B230" s="26"/>
      <c r="E230" s="1"/>
      <c r="F230" s="1"/>
      <c r="G230" s="1"/>
      <c r="H230" s="1"/>
      <c r="I230" s="1"/>
      <c r="J230" s="1"/>
      <c r="K230" s="1"/>
      <c r="L230" s="1"/>
      <c r="M230" s="1"/>
    </row>
    <row r="231" spans="2:13" x14ac:dyDescent="0.25">
      <c r="B231" s="26"/>
      <c r="E231" s="1"/>
      <c r="F231" s="1"/>
      <c r="G231" s="1"/>
      <c r="H231" s="1"/>
      <c r="I231" s="1"/>
      <c r="J231" s="1"/>
      <c r="K231" s="1"/>
      <c r="L231" s="1"/>
      <c r="M231" s="1"/>
    </row>
    <row r="232" spans="2:13" x14ac:dyDescent="0.25">
      <c r="B232" s="26"/>
      <c r="E232" s="1"/>
      <c r="F232" s="1"/>
      <c r="G232" s="1"/>
      <c r="H232" s="1"/>
      <c r="I232" s="1"/>
      <c r="J232" s="1"/>
      <c r="K232" s="1"/>
      <c r="L232" s="1"/>
      <c r="M232" s="1"/>
    </row>
    <row r="233" spans="2:13" x14ac:dyDescent="0.25">
      <c r="B233" s="26"/>
      <c r="E233" s="1"/>
      <c r="F233" s="1"/>
      <c r="G233" s="1"/>
      <c r="H233" s="1"/>
      <c r="I233" s="1"/>
      <c r="J233" s="1"/>
      <c r="K233" s="1"/>
      <c r="L233" s="1"/>
      <c r="M233" s="1"/>
    </row>
    <row r="234" spans="2:13" x14ac:dyDescent="0.25">
      <c r="B234" s="26"/>
      <c r="E234" s="1"/>
      <c r="F234" s="1"/>
      <c r="G234" s="1"/>
      <c r="H234" s="1"/>
      <c r="I234" s="1"/>
      <c r="J234" s="1"/>
      <c r="K234" s="1"/>
      <c r="L234" s="1"/>
      <c r="M234" s="1"/>
    </row>
    <row r="235" spans="2:13" x14ac:dyDescent="0.25">
      <c r="B235" s="26"/>
      <c r="E235" s="1"/>
      <c r="F235" s="1"/>
      <c r="G235" s="1"/>
      <c r="H235" s="1"/>
      <c r="I235" s="1"/>
      <c r="J235" s="1"/>
      <c r="K235" s="1"/>
      <c r="L235" s="1"/>
      <c r="M235" s="1"/>
    </row>
    <row r="236" spans="2:13" x14ac:dyDescent="0.25">
      <c r="B236" s="26"/>
      <c r="E236" s="1"/>
      <c r="F236" s="1"/>
      <c r="G236" s="1"/>
      <c r="H236" s="1"/>
      <c r="I236" s="1"/>
      <c r="J236" s="1"/>
      <c r="K236" s="1"/>
      <c r="L236" s="1"/>
      <c r="M236" s="1"/>
    </row>
    <row r="237" spans="2:13" x14ac:dyDescent="0.25">
      <c r="B237" s="26"/>
      <c r="E237" s="1"/>
      <c r="F237" s="1"/>
      <c r="G237" s="1"/>
      <c r="H237" s="1"/>
      <c r="I237" s="1"/>
      <c r="J237" s="1"/>
      <c r="K237" s="1"/>
      <c r="L237" s="1"/>
      <c r="M237" s="1"/>
    </row>
    <row r="238" spans="2:13" x14ac:dyDescent="0.25">
      <c r="B238" s="26"/>
      <c r="E238" s="1"/>
      <c r="F238" s="1"/>
      <c r="G238" s="1"/>
      <c r="H238" s="1"/>
      <c r="I238" s="1"/>
      <c r="J238" s="1"/>
      <c r="K238" s="1"/>
      <c r="L238" s="1"/>
      <c r="M238" s="1"/>
    </row>
    <row r="239" spans="2:13" x14ac:dyDescent="0.25">
      <c r="B239" s="26"/>
      <c r="E239" s="1"/>
      <c r="F239" s="1"/>
      <c r="G239" s="1"/>
      <c r="H239" s="1"/>
      <c r="I239" s="1"/>
      <c r="J239" s="1"/>
      <c r="K239" s="1"/>
      <c r="L239" s="1"/>
      <c r="M239" s="1"/>
    </row>
    <row r="240" spans="2:13" x14ac:dyDescent="0.25">
      <c r="B240" s="26"/>
      <c r="E240" s="1"/>
      <c r="F240" s="1"/>
      <c r="G240" s="1"/>
      <c r="H240" s="1"/>
      <c r="I240" s="1"/>
      <c r="J240" s="1"/>
      <c r="K240" s="1"/>
      <c r="L240" s="1"/>
      <c r="M240" s="1"/>
    </row>
    <row r="241" spans="2:13" x14ac:dyDescent="0.25">
      <c r="B241" s="26"/>
      <c r="E241" s="1"/>
      <c r="F241" s="1"/>
      <c r="G241" s="1"/>
      <c r="H241" s="1"/>
      <c r="I241" s="1"/>
      <c r="J241" s="1"/>
      <c r="K241" s="1"/>
      <c r="L241" s="1"/>
      <c r="M241" s="1"/>
    </row>
    <row r="242" spans="2:13" x14ac:dyDescent="0.25">
      <c r="B242" s="26"/>
      <c r="E242" s="1"/>
      <c r="F242" s="1"/>
      <c r="G242" s="1"/>
      <c r="H242" s="1"/>
      <c r="I242" s="1"/>
      <c r="J242" s="1"/>
      <c r="K242" s="1"/>
      <c r="L242" s="1"/>
      <c r="M242" s="1"/>
    </row>
    <row r="243" spans="2:13" x14ac:dyDescent="0.25">
      <c r="B243" s="26"/>
      <c r="E243" s="1"/>
      <c r="F243" s="1"/>
      <c r="G243" s="1"/>
      <c r="H243" s="1"/>
      <c r="I243" s="1"/>
      <c r="J243" s="1"/>
      <c r="K243" s="1"/>
      <c r="L243" s="1"/>
      <c r="M243" s="1"/>
    </row>
    <row r="244" spans="2:13" x14ac:dyDescent="0.25">
      <c r="B244" s="26"/>
      <c r="E244" s="1"/>
      <c r="F244" s="1"/>
      <c r="G244" s="1"/>
      <c r="H244" s="1"/>
      <c r="I244" s="1"/>
      <c r="J244" s="1"/>
      <c r="K244" s="1"/>
      <c r="L244" s="1"/>
      <c r="M244" s="1"/>
    </row>
    <row r="245" spans="2:13" x14ac:dyDescent="0.25">
      <c r="B245" s="26"/>
      <c r="E245" s="1"/>
      <c r="F245" s="1"/>
      <c r="G245" s="1"/>
      <c r="H245" s="1"/>
      <c r="I245" s="1"/>
      <c r="J245" s="1"/>
      <c r="K245" s="1"/>
      <c r="L245" s="1"/>
      <c r="M245" s="1"/>
    </row>
    <row r="246" spans="2:13" x14ac:dyDescent="0.25">
      <c r="B246" s="26"/>
      <c r="E246" s="1"/>
      <c r="F246" s="1"/>
      <c r="G246" s="1"/>
      <c r="H246" s="1"/>
      <c r="I246" s="1"/>
      <c r="J246" s="1"/>
      <c r="K246" s="1"/>
      <c r="L246" s="1"/>
      <c r="M246" s="1"/>
    </row>
    <row r="247" spans="2:13" x14ac:dyDescent="0.25">
      <c r="B247" s="26"/>
      <c r="E247" s="1"/>
      <c r="F247" s="1"/>
      <c r="G247" s="1"/>
      <c r="H247" s="1"/>
      <c r="I247" s="1"/>
      <c r="J247" s="1"/>
      <c r="K247" s="1"/>
      <c r="L247" s="1"/>
      <c r="M247" s="1"/>
    </row>
    <row r="248" spans="2:13" x14ac:dyDescent="0.25">
      <c r="B248" s="26"/>
      <c r="E248" s="1"/>
      <c r="F248" s="1"/>
      <c r="G248" s="1"/>
      <c r="H248" s="1"/>
      <c r="I248" s="1"/>
      <c r="J248" s="1"/>
      <c r="K248" s="1"/>
      <c r="L248" s="1"/>
      <c r="M248" s="1"/>
    </row>
    <row r="249" spans="2:13" x14ac:dyDescent="0.25">
      <c r="B249" s="26"/>
      <c r="E249" s="1"/>
      <c r="F249" s="1"/>
      <c r="G249" s="1"/>
      <c r="H249" s="1"/>
      <c r="I249" s="1"/>
      <c r="J249" s="1"/>
      <c r="K249" s="1"/>
      <c r="L249" s="1"/>
      <c r="M249" s="1"/>
    </row>
    <row r="250" spans="2:13" x14ac:dyDescent="0.25">
      <c r="B250" s="26"/>
      <c r="E250" s="1"/>
      <c r="F250" s="1"/>
      <c r="G250" s="1"/>
      <c r="H250" s="1"/>
      <c r="I250" s="1"/>
      <c r="J250" s="1"/>
      <c r="K250" s="1"/>
      <c r="L250" s="1"/>
      <c r="M250" s="1"/>
    </row>
    <row r="251" spans="2:13" x14ac:dyDescent="0.25">
      <c r="B251" s="26"/>
      <c r="E251" s="1"/>
      <c r="F251" s="1"/>
      <c r="G251" s="1"/>
      <c r="H251" s="1"/>
      <c r="I251" s="1"/>
      <c r="J251" s="1"/>
      <c r="K251" s="1"/>
      <c r="L251" s="1"/>
      <c r="M251" s="1"/>
    </row>
    <row r="252" spans="2:13" x14ac:dyDescent="0.25">
      <c r="B252" s="26"/>
      <c r="E252" s="1"/>
      <c r="F252" s="1"/>
      <c r="G252" s="1"/>
      <c r="H252" s="1"/>
      <c r="I252" s="1"/>
      <c r="J252" s="1"/>
      <c r="K252" s="1"/>
      <c r="L252" s="1"/>
      <c r="M252" s="1"/>
    </row>
    <row r="253" spans="2:13" x14ac:dyDescent="0.25">
      <c r="B253" s="26"/>
      <c r="E253" s="1"/>
      <c r="F253" s="1"/>
      <c r="G253" s="1"/>
      <c r="H253" s="1"/>
      <c r="I253" s="1"/>
      <c r="J253" s="1"/>
      <c r="K253" s="1"/>
      <c r="L253" s="1"/>
      <c r="M253" s="1"/>
    </row>
    <row r="254" spans="2:13" x14ac:dyDescent="0.25">
      <c r="B254" s="26"/>
      <c r="E254" s="1"/>
      <c r="F254" s="1"/>
      <c r="G254" s="1"/>
      <c r="H254" s="1"/>
      <c r="I254" s="1"/>
      <c r="J254" s="1"/>
      <c r="K254" s="1"/>
      <c r="L254" s="1"/>
      <c r="M254" s="1"/>
    </row>
    <row r="255" spans="2:13" x14ac:dyDescent="0.25">
      <c r="B255" s="26"/>
      <c r="E255" s="1"/>
      <c r="F255" s="1"/>
      <c r="G255" s="1"/>
      <c r="H255" s="1"/>
      <c r="I255" s="1"/>
      <c r="J255" s="1"/>
      <c r="K255" s="1"/>
      <c r="L255" s="1"/>
      <c r="M255" s="1"/>
    </row>
    <row r="256" spans="2:13" x14ac:dyDescent="0.25">
      <c r="B256" s="26"/>
      <c r="E256" s="1"/>
      <c r="F256" s="1"/>
      <c r="G256" s="1"/>
      <c r="H256" s="1"/>
      <c r="I256" s="1"/>
      <c r="J256" s="1"/>
      <c r="K256" s="1"/>
      <c r="L256" s="1"/>
      <c r="M256" s="1"/>
    </row>
    <row r="257" spans="2:13" x14ac:dyDescent="0.25">
      <c r="B257" s="26"/>
      <c r="E257" s="1"/>
      <c r="F257" s="1"/>
      <c r="G257" s="1"/>
      <c r="H257" s="1"/>
      <c r="I257" s="1"/>
      <c r="J257" s="1"/>
      <c r="K257" s="1"/>
      <c r="L257" s="1"/>
      <c r="M257" s="1"/>
    </row>
    <row r="258" spans="2:13" x14ac:dyDescent="0.25">
      <c r="B258" s="26"/>
      <c r="E258" s="1"/>
      <c r="F258" s="1"/>
      <c r="G258" s="1"/>
      <c r="H258" s="1"/>
      <c r="I258" s="1"/>
      <c r="J258" s="1"/>
      <c r="K258" s="1"/>
      <c r="L258" s="1"/>
      <c r="M258" s="1"/>
    </row>
    <row r="259" spans="2:13" x14ac:dyDescent="0.25">
      <c r="B259" s="26"/>
      <c r="E259" s="1"/>
      <c r="F259" s="1"/>
      <c r="G259" s="1"/>
      <c r="H259" s="1"/>
      <c r="I259" s="1"/>
      <c r="J259" s="1"/>
      <c r="K259" s="1"/>
      <c r="L259" s="1"/>
      <c r="M259" s="1"/>
    </row>
    <row r="260" spans="2:13" x14ac:dyDescent="0.25">
      <c r="B260" s="26"/>
      <c r="E260" s="1"/>
      <c r="F260" s="1"/>
      <c r="G260" s="1"/>
      <c r="H260" s="1"/>
      <c r="I260" s="1"/>
      <c r="J260" s="1"/>
      <c r="K260" s="1"/>
      <c r="L260" s="1"/>
      <c r="M260" s="1"/>
    </row>
    <row r="261" spans="2:13" x14ac:dyDescent="0.25">
      <c r="B261" s="26"/>
      <c r="E261" s="1"/>
      <c r="F261" s="1"/>
      <c r="G261" s="1"/>
      <c r="H261" s="1"/>
      <c r="I261" s="1"/>
      <c r="J261" s="1"/>
      <c r="K261" s="1"/>
      <c r="L261" s="1"/>
      <c r="M261" s="1"/>
    </row>
    <row r="262" spans="2:13" x14ac:dyDescent="0.25">
      <c r="B262" s="26"/>
      <c r="E262" s="1"/>
      <c r="F262" s="1"/>
      <c r="G262" s="1"/>
      <c r="H262" s="1"/>
      <c r="I262" s="1"/>
      <c r="J262" s="1"/>
      <c r="K262" s="1"/>
      <c r="L262" s="1"/>
      <c r="M262" s="1"/>
    </row>
    <row r="263" spans="2:13" x14ac:dyDescent="0.25">
      <c r="B263" s="26"/>
      <c r="E263" s="1"/>
      <c r="F263" s="1"/>
      <c r="G263" s="1"/>
      <c r="H263" s="1"/>
      <c r="I263" s="1"/>
      <c r="J263" s="1"/>
      <c r="K263" s="1"/>
      <c r="L263" s="1"/>
      <c r="M263" s="1"/>
    </row>
    <row r="264" spans="2:13" x14ac:dyDescent="0.25">
      <c r="B264" s="26"/>
      <c r="E264" s="1"/>
      <c r="F264" s="1"/>
      <c r="G264" s="1"/>
      <c r="H264" s="1"/>
      <c r="I264" s="1"/>
      <c r="J264" s="1"/>
      <c r="K264" s="1"/>
      <c r="L264" s="1"/>
      <c r="M264" s="1"/>
    </row>
    <row r="265" spans="2:13" x14ac:dyDescent="0.25">
      <c r="B265" s="26"/>
      <c r="E265" s="1"/>
      <c r="F265" s="1"/>
      <c r="G265" s="1"/>
      <c r="H265" s="1"/>
      <c r="I265" s="1"/>
      <c r="J265" s="1"/>
      <c r="K265" s="1"/>
      <c r="L265" s="1"/>
      <c r="M265" s="1"/>
    </row>
    <row r="266" spans="2:13" x14ac:dyDescent="0.25">
      <c r="B266" s="26"/>
      <c r="E266" s="1"/>
      <c r="F266" s="1"/>
      <c r="G266" s="1"/>
      <c r="H266" s="1"/>
      <c r="I266" s="1"/>
      <c r="J266" s="1"/>
      <c r="K266" s="1"/>
      <c r="L266" s="1"/>
      <c r="M266" s="1"/>
    </row>
    <row r="267" spans="2:13" x14ac:dyDescent="0.25">
      <c r="B267" s="26"/>
      <c r="E267" s="1"/>
      <c r="F267" s="1"/>
      <c r="G267" s="1"/>
      <c r="H267" s="1"/>
      <c r="I267" s="1"/>
      <c r="J267" s="1"/>
      <c r="K267" s="1"/>
      <c r="L267" s="1"/>
      <c r="M267" s="1"/>
    </row>
    <row r="268" spans="2:13" x14ac:dyDescent="0.25">
      <c r="B268" s="26"/>
      <c r="E268" s="1"/>
      <c r="F268" s="1"/>
      <c r="G268" s="1"/>
      <c r="H268" s="1"/>
      <c r="I268" s="1"/>
      <c r="J268" s="1"/>
      <c r="K268" s="1"/>
      <c r="L268" s="1"/>
      <c r="M268" s="1"/>
    </row>
    <row r="269" spans="2:13" x14ac:dyDescent="0.25">
      <c r="B269" s="26"/>
      <c r="E269" s="1"/>
      <c r="F269" s="1"/>
      <c r="G269" s="1"/>
      <c r="H269" s="1"/>
      <c r="I269" s="1"/>
      <c r="J269" s="1"/>
      <c r="K269" s="1"/>
      <c r="L269" s="1"/>
      <c r="M269" s="1"/>
    </row>
    <row r="270" spans="2:13" x14ac:dyDescent="0.25">
      <c r="B270" s="26"/>
      <c r="E270" s="1"/>
      <c r="F270" s="1"/>
      <c r="G270" s="1"/>
      <c r="H270" s="1"/>
      <c r="I270" s="1"/>
      <c r="J270" s="1"/>
      <c r="K270" s="1"/>
      <c r="L270" s="1"/>
      <c r="M270" s="1"/>
    </row>
    <row r="271" spans="2:13" x14ac:dyDescent="0.25">
      <c r="B271" s="26"/>
      <c r="E271" s="1"/>
      <c r="F271" s="1"/>
      <c r="G271" s="1"/>
      <c r="H271" s="1"/>
      <c r="I271" s="1"/>
      <c r="J271" s="1"/>
      <c r="K271" s="1"/>
      <c r="L271" s="1"/>
      <c r="M271" s="1"/>
    </row>
    <row r="272" spans="2:13" x14ac:dyDescent="0.25">
      <c r="B272" s="26"/>
      <c r="E272" s="1"/>
      <c r="F272" s="1"/>
      <c r="G272" s="1"/>
      <c r="H272" s="1"/>
      <c r="I272" s="1"/>
      <c r="J272" s="1"/>
      <c r="K272" s="1"/>
      <c r="L272" s="1"/>
      <c r="M272" s="1"/>
    </row>
    <row r="273" spans="2:13" x14ac:dyDescent="0.25">
      <c r="B273" s="26"/>
      <c r="E273" s="1"/>
      <c r="F273" s="1"/>
      <c r="G273" s="1"/>
      <c r="H273" s="1"/>
      <c r="I273" s="1"/>
      <c r="J273" s="1"/>
      <c r="K273" s="1"/>
      <c r="L273" s="1"/>
      <c r="M273" s="1"/>
    </row>
    <row r="274" spans="2:13" x14ac:dyDescent="0.25">
      <c r="B274" s="26"/>
      <c r="E274" s="1"/>
      <c r="F274" s="1"/>
      <c r="G274" s="1"/>
      <c r="H274" s="1"/>
      <c r="I274" s="1"/>
      <c r="J274" s="1"/>
      <c r="K274" s="1"/>
      <c r="L274" s="1"/>
      <c r="M274" s="1"/>
    </row>
    <row r="275" spans="2:13" x14ac:dyDescent="0.25">
      <c r="B275" s="26"/>
      <c r="E275" s="1"/>
      <c r="F275" s="1"/>
      <c r="G275" s="1"/>
      <c r="H275" s="1"/>
      <c r="I275" s="1"/>
      <c r="J275" s="1"/>
      <c r="K275" s="1"/>
      <c r="L275" s="1"/>
      <c r="M275" s="1"/>
    </row>
    <row r="276" spans="2:13" x14ac:dyDescent="0.25">
      <c r="B276" s="26"/>
      <c r="E276" s="1"/>
      <c r="F276" s="1"/>
      <c r="G276" s="1"/>
      <c r="H276" s="1"/>
      <c r="I276" s="1"/>
      <c r="J276" s="1"/>
      <c r="K276" s="1"/>
      <c r="L276" s="1"/>
      <c r="M276" s="1"/>
    </row>
    <row r="277" spans="2:13" x14ac:dyDescent="0.25">
      <c r="B277" s="26"/>
      <c r="E277" s="1"/>
      <c r="F277" s="1"/>
      <c r="G277" s="1"/>
      <c r="H277" s="1"/>
      <c r="I277" s="1"/>
      <c r="J277" s="1"/>
      <c r="K277" s="1"/>
      <c r="L277" s="1"/>
      <c r="M277" s="1"/>
    </row>
    <row r="278" spans="2:13" x14ac:dyDescent="0.25">
      <c r="B278" s="26"/>
      <c r="E278" s="1"/>
      <c r="F278" s="1"/>
      <c r="G278" s="1"/>
      <c r="H278" s="1"/>
      <c r="I278" s="1"/>
      <c r="J278" s="1"/>
      <c r="K278" s="1"/>
      <c r="L278" s="1"/>
      <c r="M278" s="1"/>
    </row>
    <row r="279" spans="2:13" x14ac:dyDescent="0.25">
      <c r="B279" s="26"/>
      <c r="E279" s="1"/>
      <c r="F279" s="1"/>
      <c r="G279" s="1"/>
      <c r="H279" s="1"/>
      <c r="I279" s="1"/>
      <c r="J279" s="1"/>
      <c r="K279" s="1"/>
      <c r="L279" s="1"/>
      <c r="M279" s="1"/>
    </row>
    <row r="280" spans="2:13" x14ac:dyDescent="0.25">
      <c r="B280" s="26"/>
      <c r="E280" s="1"/>
      <c r="F280" s="1"/>
      <c r="G280" s="1"/>
      <c r="H280" s="1"/>
      <c r="I280" s="1"/>
      <c r="J280" s="1"/>
      <c r="K280" s="1"/>
      <c r="L280" s="1"/>
      <c r="M280" s="1"/>
    </row>
    <row r="281" spans="2:13" x14ac:dyDescent="0.25">
      <c r="B281" s="26"/>
      <c r="E281" s="1"/>
      <c r="F281" s="1"/>
      <c r="G281" s="1"/>
      <c r="H281" s="1"/>
      <c r="I281" s="1"/>
      <c r="J281" s="1"/>
      <c r="K281" s="1"/>
      <c r="L281" s="1"/>
      <c r="M281" s="1"/>
    </row>
    <row r="282" spans="2:13" x14ac:dyDescent="0.25">
      <c r="B282" s="26"/>
      <c r="E282" s="1"/>
      <c r="F282" s="1"/>
      <c r="G282" s="1"/>
      <c r="H282" s="1"/>
      <c r="I282" s="1"/>
      <c r="J282" s="1"/>
      <c r="K282" s="1"/>
      <c r="L282" s="1"/>
      <c r="M282" s="1"/>
    </row>
    <row r="283" spans="2:13" x14ac:dyDescent="0.25">
      <c r="B283" s="26"/>
      <c r="E283" s="1"/>
      <c r="F283" s="1"/>
      <c r="G283" s="1"/>
      <c r="H283" s="1"/>
      <c r="I283" s="1"/>
      <c r="J283" s="1"/>
      <c r="K283" s="1"/>
      <c r="L283" s="1"/>
      <c r="M283" s="1"/>
    </row>
    <row r="284" spans="2:13" x14ac:dyDescent="0.25">
      <c r="B284" s="26"/>
      <c r="E284" s="1"/>
      <c r="F284" s="1"/>
      <c r="G284" s="1"/>
      <c r="H284" s="1"/>
      <c r="I284" s="1"/>
      <c r="J284" s="1"/>
      <c r="K284" s="1"/>
      <c r="L284" s="1"/>
      <c r="M284" s="1"/>
    </row>
    <row r="285" spans="2:13" x14ac:dyDescent="0.25">
      <c r="B285" s="26"/>
      <c r="E285" s="1"/>
      <c r="F285" s="1"/>
      <c r="G285" s="1"/>
      <c r="H285" s="1"/>
      <c r="I285" s="1"/>
      <c r="J285" s="1"/>
      <c r="K285" s="1"/>
      <c r="L285" s="1"/>
      <c r="M285" s="1"/>
    </row>
    <row r="286" spans="2:13" x14ac:dyDescent="0.25">
      <c r="B286" s="26"/>
      <c r="E286" s="1"/>
      <c r="F286" s="1"/>
      <c r="G286" s="1"/>
      <c r="H286" s="1"/>
      <c r="I286" s="1"/>
      <c r="J286" s="1"/>
      <c r="K286" s="1"/>
      <c r="L286" s="1"/>
      <c r="M286" s="1"/>
    </row>
    <row r="287" spans="2:13" x14ac:dyDescent="0.25">
      <c r="B287" s="26"/>
      <c r="E287" s="1"/>
      <c r="F287" s="1"/>
      <c r="G287" s="1"/>
      <c r="H287" s="1"/>
      <c r="I287" s="1"/>
      <c r="J287" s="1"/>
      <c r="K287" s="1"/>
      <c r="L287" s="1"/>
      <c r="M287" s="1"/>
    </row>
    <row r="288" spans="2:13" x14ac:dyDescent="0.25">
      <c r="B288" s="26"/>
      <c r="E288" s="1"/>
      <c r="F288" s="1"/>
      <c r="G288" s="1"/>
      <c r="H288" s="1"/>
      <c r="I288" s="1"/>
      <c r="J288" s="1"/>
      <c r="K288" s="1"/>
      <c r="L288" s="1"/>
      <c r="M288" s="1"/>
    </row>
    <row r="289" spans="2:13" x14ac:dyDescent="0.25">
      <c r="B289" s="26"/>
      <c r="E289" s="1"/>
      <c r="F289" s="1"/>
      <c r="G289" s="1"/>
      <c r="H289" s="1"/>
      <c r="I289" s="1"/>
      <c r="J289" s="1"/>
      <c r="K289" s="1"/>
      <c r="L289" s="1"/>
      <c r="M289" s="1"/>
    </row>
    <row r="290" spans="2:13" x14ac:dyDescent="0.25">
      <c r="B290" s="26"/>
      <c r="E290" s="1"/>
      <c r="F290" s="1"/>
      <c r="G290" s="1"/>
      <c r="H290" s="1"/>
      <c r="I290" s="1"/>
      <c r="J290" s="1"/>
      <c r="K290" s="1"/>
      <c r="L290" s="1"/>
      <c r="M290" s="1"/>
    </row>
    <row r="291" spans="2:13" x14ac:dyDescent="0.25">
      <c r="B291" s="26"/>
      <c r="E291" s="1"/>
      <c r="F291" s="1"/>
      <c r="G291" s="1"/>
      <c r="H291" s="1"/>
      <c r="I291" s="1"/>
      <c r="J291" s="1"/>
      <c r="K291" s="1"/>
      <c r="L291" s="1"/>
      <c r="M291" s="1"/>
    </row>
    <row r="292" spans="2:13" x14ac:dyDescent="0.25">
      <c r="B292" s="26"/>
      <c r="E292" s="1"/>
      <c r="F292" s="1"/>
      <c r="G292" s="1"/>
      <c r="H292" s="1"/>
      <c r="I292" s="1"/>
      <c r="J292" s="1"/>
      <c r="K292" s="1"/>
      <c r="L292" s="1"/>
      <c r="M292" s="1"/>
    </row>
    <row r="293" spans="2:13" x14ac:dyDescent="0.25">
      <c r="B293" s="26"/>
      <c r="E293" s="1"/>
      <c r="F293" s="1"/>
      <c r="G293" s="1"/>
      <c r="H293" s="1"/>
      <c r="I293" s="1"/>
      <c r="J293" s="1"/>
      <c r="K293" s="1"/>
      <c r="L293" s="1"/>
      <c r="M293" s="1"/>
    </row>
    <row r="294" spans="2:13" x14ac:dyDescent="0.25">
      <c r="B294" s="26"/>
      <c r="E294" s="1"/>
      <c r="F294" s="1"/>
      <c r="G294" s="1"/>
      <c r="H294" s="1"/>
      <c r="I294" s="1"/>
      <c r="J294" s="1"/>
      <c r="K294" s="1"/>
      <c r="L294" s="1"/>
      <c r="M294" s="1"/>
    </row>
    <row r="295" spans="2:13" x14ac:dyDescent="0.25">
      <c r="B295" s="26"/>
      <c r="E295" s="1"/>
      <c r="F295" s="1"/>
      <c r="G295" s="1"/>
      <c r="H295" s="1"/>
      <c r="I295" s="1"/>
      <c r="J295" s="1"/>
      <c r="K295" s="1"/>
      <c r="L295" s="1"/>
      <c r="M295" s="1"/>
    </row>
    <row r="296" spans="2:13" x14ac:dyDescent="0.25">
      <c r="B296" s="26"/>
      <c r="E296" s="1"/>
      <c r="F296" s="1"/>
      <c r="G296" s="1"/>
      <c r="H296" s="1"/>
      <c r="I296" s="1"/>
      <c r="J296" s="1"/>
      <c r="K296" s="1"/>
      <c r="L296" s="1"/>
      <c r="M296" s="1"/>
    </row>
    <row r="297" spans="2:13" x14ac:dyDescent="0.25">
      <c r="E297" s="1"/>
      <c r="F297" s="1"/>
      <c r="G297" s="1"/>
      <c r="H297" s="1"/>
      <c r="I297" s="1"/>
      <c r="J297" s="1"/>
      <c r="K297" s="1"/>
      <c r="L297" s="1"/>
      <c r="M297" s="1"/>
    </row>
    <row r="298" spans="2:13" x14ac:dyDescent="0.25">
      <c r="E298" s="1"/>
      <c r="F298" s="1"/>
      <c r="G298" s="1"/>
      <c r="H298" s="1"/>
      <c r="I298" s="1"/>
      <c r="J298" s="1"/>
      <c r="K298" s="1"/>
      <c r="L298" s="1"/>
      <c r="M298" s="1"/>
    </row>
    <row r="299" spans="2:13" x14ac:dyDescent="0.25">
      <c r="E299" s="1"/>
      <c r="F299" s="1"/>
      <c r="G299" s="1"/>
      <c r="H299" s="1"/>
      <c r="I299" s="1"/>
      <c r="J299" s="1"/>
      <c r="K299" s="1"/>
      <c r="L299" s="1"/>
      <c r="M299" s="1"/>
    </row>
    <row r="300" spans="2:13" x14ac:dyDescent="0.25">
      <c r="E300" s="1"/>
      <c r="F300" s="1"/>
      <c r="G300" s="1"/>
      <c r="H300" s="1"/>
      <c r="I300" s="1"/>
      <c r="J300" s="1"/>
      <c r="K300" s="1"/>
      <c r="L300" s="1"/>
      <c r="M300" s="1"/>
    </row>
    <row r="301" spans="2:13" x14ac:dyDescent="0.25">
      <c r="E301" s="1"/>
      <c r="F301" s="1"/>
      <c r="G301" s="1"/>
      <c r="H301" s="1"/>
      <c r="I301" s="1"/>
      <c r="J301" s="1"/>
      <c r="K301" s="1"/>
      <c r="L301" s="1"/>
      <c r="M301" s="1"/>
    </row>
    <row r="302" spans="2:13" x14ac:dyDescent="0.25">
      <c r="E302" s="1"/>
      <c r="F302" s="1"/>
      <c r="G302" s="1"/>
      <c r="H302" s="1"/>
      <c r="I302" s="1"/>
      <c r="J302" s="1"/>
      <c r="K302" s="1"/>
      <c r="L302" s="1"/>
      <c r="M302" s="1"/>
    </row>
    <row r="303" spans="2:13" x14ac:dyDescent="0.25">
      <c r="E303" s="1"/>
      <c r="F303" s="1"/>
      <c r="G303" s="1"/>
      <c r="H303" s="1"/>
      <c r="I303" s="1"/>
      <c r="J303" s="1"/>
      <c r="K303" s="1"/>
      <c r="L303" s="1"/>
      <c r="M303" s="1"/>
    </row>
    <row r="304" spans="2:13" x14ac:dyDescent="0.25">
      <c r="E304" s="1"/>
      <c r="F304" s="1"/>
      <c r="G304" s="1"/>
      <c r="H304" s="1"/>
      <c r="I304" s="1"/>
      <c r="J304" s="1"/>
      <c r="K304" s="1"/>
      <c r="L304" s="1"/>
      <c r="M304" s="1"/>
    </row>
    <row r="305" spans="5:13" x14ac:dyDescent="0.25">
      <c r="E305" s="1"/>
      <c r="F305" s="1"/>
      <c r="G305" s="1"/>
      <c r="H305" s="1"/>
      <c r="I305" s="1"/>
      <c r="J305" s="1"/>
      <c r="K305" s="1"/>
      <c r="L305" s="1"/>
      <c r="M305" s="1"/>
    </row>
    <row r="306" spans="5:13" x14ac:dyDescent="0.25">
      <c r="E306" s="1"/>
      <c r="F306" s="1"/>
      <c r="G306" s="1"/>
      <c r="H306" s="1"/>
      <c r="I306" s="1"/>
      <c r="J306" s="1"/>
      <c r="K306" s="1"/>
      <c r="L306" s="1"/>
      <c r="M306" s="1"/>
    </row>
    <row r="307" spans="5:13" x14ac:dyDescent="0.25">
      <c r="E307" s="1"/>
      <c r="F307" s="1"/>
      <c r="G307" s="1"/>
      <c r="H307" s="1"/>
      <c r="I307" s="1"/>
      <c r="J307" s="1"/>
      <c r="K307" s="1"/>
      <c r="L307" s="1"/>
      <c r="M307" s="1"/>
    </row>
    <row r="308" spans="5:13" x14ac:dyDescent="0.25">
      <c r="E308" s="1"/>
      <c r="F308" s="1"/>
      <c r="G308" s="1"/>
      <c r="H308" s="1"/>
      <c r="I308" s="1"/>
      <c r="J308" s="1"/>
      <c r="K308" s="1"/>
      <c r="L308" s="1"/>
      <c r="M308" s="1"/>
    </row>
    <row r="309" spans="5:13" x14ac:dyDescent="0.25">
      <c r="E309" s="1"/>
      <c r="F309" s="1"/>
      <c r="G309" s="1"/>
      <c r="H309" s="1"/>
      <c r="I309" s="1"/>
      <c r="J309" s="1"/>
      <c r="K309" s="1"/>
      <c r="L309" s="1"/>
      <c r="M309" s="1"/>
    </row>
    <row r="310" spans="5:13" x14ac:dyDescent="0.25">
      <c r="E310" s="1"/>
      <c r="F310" s="1"/>
      <c r="G310" s="1"/>
      <c r="H310" s="1"/>
      <c r="I310" s="1"/>
      <c r="J310" s="1"/>
      <c r="K310" s="1"/>
      <c r="L310" s="1"/>
      <c r="M310" s="1"/>
    </row>
    <row r="311" spans="5:13" x14ac:dyDescent="0.25">
      <c r="E311" s="1"/>
      <c r="F311" s="1"/>
      <c r="G311" s="1"/>
      <c r="H311" s="1"/>
      <c r="I311" s="1"/>
      <c r="J311" s="1"/>
      <c r="K311" s="1"/>
      <c r="L311" s="1"/>
      <c r="M311" s="1"/>
    </row>
    <row r="312" spans="5:13" x14ac:dyDescent="0.25">
      <c r="E312" s="1"/>
      <c r="F312" s="1"/>
      <c r="G312" s="1"/>
      <c r="H312" s="1"/>
      <c r="I312" s="1"/>
      <c r="J312" s="1"/>
      <c r="K312" s="1"/>
      <c r="L312" s="1"/>
      <c r="M312" s="1"/>
    </row>
    <row r="313" spans="5:13" x14ac:dyDescent="0.25">
      <c r="E313" s="1"/>
      <c r="F313" s="1"/>
      <c r="G313" s="1"/>
      <c r="H313" s="1"/>
      <c r="I313" s="1"/>
      <c r="J313" s="1"/>
      <c r="K313" s="1"/>
      <c r="L313" s="1"/>
      <c r="M313" s="1"/>
    </row>
    <row r="314" spans="5:13" x14ac:dyDescent="0.25">
      <c r="E314" s="1"/>
      <c r="F314" s="1"/>
      <c r="G314" s="1"/>
      <c r="H314" s="1"/>
      <c r="I314" s="1"/>
      <c r="J314" s="1"/>
      <c r="K314" s="1"/>
      <c r="L314" s="1"/>
      <c r="M314" s="1"/>
    </row>
    <row r="315" spans="5:13" x14ac:dyDescent="0.25">
      <c r="E315" s="1"/>
      <c r="F315" s="1"/>
      <c r="G315" s="1"/>
      <c r="H315" s="1"/>
      <c r="I315" s="1"/>
      <c r="J315" s="1"/>
      <c r="K315" s="1"/>
      <c r="L315" s="1"/>
      <c r="M315" s="1"/>
    </row>
    <row r="316" spans="5:13" x14ac:dyDescent="0.25">
      <c r="E316" s="1"/>
      <c r="F316" s="1"/>
      <c r="G316" s="1"/>
      <c r="H316" s="1"/>
      <c r="I316" s="1"/>
      <c r="J316" s="1"/>
      <c r="K316" s="1"/>
      <c r="L316" s="1"/>
      <c r="M316" s="1"/>
    </row>
    <row r="317" spans="5:13" x14ac:dyDescent="0.25">
      <c r="E317" s="1"/>
      <c r="F317" s="1"/>
      <c r="G317" s="1"/>
      <c r="H317" s="1"/>
      <c r="I317" s="1"/>
      <c r="J317" s="1"/>
      <c r="K317" s="1"/>
      <c r="L317" s="1"/>
      <c r="M317" s="1"/>
    </row>
    <row r="318" spans="5:13" x14ac:dyDescent="0.25">
      <c r="E318" s="1"/>
      <c r="F318" s="1"/>
      <c r="G318" s="1"/>
      <c r="H318" s="1"/>
      <c r="I318" s="1"/>
      <c r="J318" s="1"/>
      <c r="K318" s="1"/>
      <c r="L318" s="1"/>
      <c r="M318" s="1"/>
    </row>
    <row r="319" spans="5:13" x14ac:dyDescent="0.25">
      <c r="E319" s="1"/>
      <c r="F319" s="1"/>
      <c r="G319" s="1"/>
      <c r="H319" s="1"/>
      <c r="I319" s="1"/>
      <c r="J319" s="1"/>
      <c r="K319" s="1"/>
      <c r="L319" s="1"/>
      <c r="M319" s="1"/>
    </row>
    <row r="320" spans="5:13" x14ac:dyDescent="0.25">
      <c r="E320" s="1"/>
      <c r="F320" s="1"/>
      <c r="G320" s="1"/>
      <c r="H320" s="1"/>
      <c r="I320" s="1"/>
      <c r="J320" s="1"/>
      <c r="K320" s="1"/>
      <c r="L320" s="1"/>
      <c r="M320" s="1"/>
    </row>
    <row r="321" spans="5:13" x14ac:dyDescent="0.25">
      <c r="E321" s="1"/>
      <c r="F321" s="1"/>
      <c r="G321" s="1"/>
      <c r="H321" s="1"/>
      <c r="I321" s="1"/>
      <c r="J321" s="1"/>
      <c r="K321" s="1"/>
      <c r="L321" s="1"/>
      <c r="M321" s="1"/>
    </row>
    <row r="322" spans="5:13" x14ac:dyDescent="0.25">
      <c r="E322" s="1"/>
      <c r="F322" s="1"/>
      <c r="G322" s="1"/>
      <c r="H322" s="1"/>
      <c r="I322" s="1"/>
      <c r="J322" s="1"/>
      <c r="K322" s="1"/>
      <c r="L322" s="1"/>
      <c r="M322" s="1"/>
    </row>
    <row r="323" spans="5:13" x14ac:dyDescent="0.25">
      <c r="E323" s="1"/>
      <c r="F323" s="1"/>
      <c r="G323" s="1"/>
      <c r="H323" s="1"/>
      <c r="I323" s="1"/>
      <c r="J323" s="1"/>
      <c r="K323" s="1"/>
      <c r="L323" s="1"/>
      <c r="M323" s="1"/>
    </row>
    <row r="324" spans="5:13" x14ac:dyDescent="0.25">
      <c r="E324" s="1"/>
      <c r="F324" s="1"/>
      <c r="G324" s="1"/>
      <c r="H324" s="1"/>
      <c r="I324" s="1"/>
      <c r="J324" s="1"/>
      <c r="K324" s="1"/>
      <c r="L324" s="1"/>
      <c r="M324" s="1"/>
    </row>
    <row r="325" spans="5:13" x14ac:dyDescent="0.25">
      <c r="E325" s="1"/>
      <c r="F325" s="1"/>
      <c r="G325" s="1"/>
      <c r="H325" s="1"/>
      <c r="I325" s="1"/>
      <c r="J325" s="1"/>
      <c r="K325" s="1"/>
      <c r="L325" s="1"/>
      <c r="M325" s="1"/>
    </row>
    <row r="326" spans="5:13" x14ac:dyDescent="0.25">
      <c r="E326" s="1"/>
      <c r="F326" s="1"/>
      <c r="G326" s="1"/>
      <c r="H326" s="1"/>
      <c r="I326" s="1"/>
      <c r="J326" s="1"/>
      <c r="K326" s="1"/>
      <c r="L326" s="1"/>
      <c r="M326" s="1"/>
    </row>
    <row r="327" spans="5:13" x14ac:dyDescent="0.25">
      <c r="E327" s="1"/>
      <c r="F327" s="1"/>
      <c r="G327" s="1"/>
      <c r="H327" s="1"/>
      <c r="I327" s="1"/>
      <c r="J327" s="1"/>
      <c r="K327" s="1"/>
      <c r="L327" s="1"/>
      <c r="M327" s="1"/>
    </row>
    <row r="328" spans="5:13" x14ac:dyDescent="0.25">
      <c r="E328" s="1"/>
      <c r="F328" s="1"/>
      <c r="G328" s="1"/>
      <c r="H328" s="1"/>
      <c r="I328" s="1"/>
      <c r="J328" s="1"/>
      <c r="K328" s="1"/>
      <c r="L328" s="1"/>
      <c r="M328" s="1"/>
    </row>
    <row r="329" spans="5:13" x14ac:dyDescent="0.25">
      <c r="E329" s="1"/>
      <c r="F329" s="1"/>
      <c r="G329" s="1"/>
      <c r="H329" s="1"/>
      <c r="I329" s="1"/>
      <c r="J329" s="1"/>
      <c r="K329" s="1"/>
      <c r="L329" s="1"/>
      <c r="M329" s="1"/>
    </row>
    <row r="330" spans="5:13" x14ac:dyDescent="0.25">
      <c r="E330" s="1"/>
      <c r="F330" s="1"/>
      <c r="G330" s="1"/>
      <c r="H330" s="1"/>
      <c r="I330" s="1"/>
      <c r="J330" s="1"/>
      <c r="K330" s="1"/>
      <c r="L330" s="1"/>
      <c r="M330" s="1"/>
    </row>
    <row r="331" spans="5:13" x14ac:dyDescent="0.25">
      <c r="E331" s="1"/>
      <c r="F331" s="1"/>
      <c r="G331" s="1"/>
      <c r="H331" s="1"/>
      <c r="I331" s="1"/>
      <c r="J331" s="1"/>
      <c r="K331" s="1"/>
      <c r="L331" s="1"/>
      <c r="M331" s="1"/>
    </row>
    <row r="332" spans="5:13" x14ac:dyDescent="0.25">
      <c r="E332" s="1"/>
      <c r="F332" s="1"/>
      <c r="G332" s="1"/>
      <c r="H332" s="1"/>
      <c r="I332" s="1"/>
      <c r="J332" s="1"/>
      <c r="K332" s="1"/>
      <c r="L332" s="1"/>
      <c r="M332" s="1"/>
    </row>
    <row r="333" spans="5:13" x14ac:dyDescent="0.25">
      <c r="E333" s="1"/>
      <c r="F333" s="1"/>
      <c r="G333" s="1"/>
      <c r="H333" s="1"/>
      <c r="I333" s="1"/>
      <c r="J333" s="1"/>
      <c r="K333" s="1"/>
      <c r="L333" s="1"/>
      <c r="M333" s="1"/>
    </row>
    <row r="334" spans="5:13" x14ac:dyDescent="0.25">
      <c r="E334" s="1"/>
      <c r="F334" s="1"/>
      <c r="G334" s="1"/>
      <c r="H334" s="1"/>
      <c r="I334" s="1"/>
      <c r="J334" s="1"/>
      <c r="K334" s="1"/>
      <c r="L334" s="1"/>
      <c r="M334" s="1"/>
    </row>
    <row r="335" spans="5:13" x14ac:dyDescent="0.25">
      <c r="E335" s="1"/>
      <c r="F335" s="1"/>
      <c r="G335" s="1"/>
      <c r="H335" s="1"/>
      <c r="I335" s="1"/>
      <c r="J335" s="1"/>
      <c r="K335" s="1"/>
      <c r="L335" s="1"/>
      <c r="M335" s="1"/>
    </row>
    <row r="336" spans="5:13" x14ac:dyDescent="0.25">
      <c r="E336" s="1"/>
      <c r="F336" s="1"/>
      <c r="G336" s="1"/>
      <c r="H336" s="1"/>
      <c r="I336" s="1"/>
      <c r="J336" s="1"/>
      <c r="K336" s="1"/>
      <c r="L336" s="1"/>
      <c r="M336" s="1"/>
    </row>
    <row r="337" spans="5:13" x14ac:dyDescent="0.25">
      <c r="E337" s="1"/>
      <c r="F337" s="1"/>
      <c r="G337" s="1"/>
      <c r="H337" s="1"/>
      <c r="I337" s="1"/>
      <c r="J337" s="1"/>
      <c r="K337" s="1"/>
      <c r="L337" s="1"/>
      <c r="M337" s="1"/>
    </row>
    <row r="338" spans="5:13" x14ac:dyDescent="0.25">
      <c r="E338" s="1"/>
      <c r="F338" s="1"/>
      <c r="G338" s="1"/>
      <c r="H338" s="1"/>
      <c r="I338" s="1"/>
      <c r="J338" s="1"/>
      <c r="K338" s="1"/>
      <c r="L338" s="1"/>
      <c r="M338" s="1"/>
    </row>
    <row r="339" spans="5:13" x14ac:dyDescent="0.25">
      <c r="E339" s="1"/>
      <c r="F339" s="1"/>
      <c r="G339" s="1"/>
      <c r="H339" s="1"/>
      <c r="I339" s="1"/>
      <c r="J339" s="1"/>
      <c r="K339" s="1"/>
      <c r="L339" s="1"/>
      <c r="M339" s="1"/>
    </row>
    <row r="340" spans="5:13" x14ac:dyDescent="0.25">
      <c r="E340" s="1"/>
      <c r="F340" s="1"/>
      <c r="G340" s="1"/>
      <c r="H340" s="1"/>
      <c r="I340" s="1"/>
      <c r="J340" s="1"/>
      <c r="K340" s="1"/>
      <c r="L340" s="1"/>
      <c r="M340" s="1"/>
    </row>
    <row r="341" spans="5:13" x14ac:dyDescent="0.25">
      <c r="E341" s="1"/>
      <c r="F341" s="1"/>
      <c r="G341" s="1"/>
      <c r="H341" s="1"/>
      <c r="I341" s="1"/>
      <c r="J341" s="1"/>
      <c r="K341" s="1"/>
      <c r="L341" s="1"/>
      <c r="M341" s="1"/>
    </row>
    <row r="342" spans="5:13" x14ac:dyDescent="0.25">
      <c r="E342" s="1"/>
      <c r="F342" s="1"/>
      <c r="G342" s="1"/>
      <c r="H342" s="1"/>
      <c r="I342" s="1"/>
      <c r="J342" s="1"/>
      <c r="K342" s="1"/>
      <c r="L342" s="1"/>
      <c r="M342" s="1"/>
    </row>
    <row r="343" spans="5:13" x14ac:dyDescent="0.25">
      <c r="E343" s="1"/>
      <c r="F343" s="1"/>
      <c r="G343" s="1"/>
      <c r="H343" s="1"/>
      <c r="I343" s="1"/>
      <c r="J343" s="1"/>
      <c r="K343" s="1"/>
      <c r="L343" s="1"/>
      <c r="M343" s="1"/>
    </row>
    <row r="344" spans="5:13" x14ac:dyDescent="0.25">
      <c r="E344" s="1"/>
      <c r="F344" s="1"/>
      <c r="G344" s="1"/>
      <c r="H344" s="1"/>
      <c r="I344" s="1"/>
      <c r="J344" s="1"/>
      <c r="K344" s="1"/>
      <c r="L344" s="1"/>
      <c r="M344" s="1"/>
    </row>
    <row r="345" spans="5:13" x14ac:dyDescent="0.25">
      <c r="E345" s="1"/>
      <c r="F345" s="1"/>
      <c r="G345" s="1"/>
      <c r="H345" s="1"/>
      <c r="I345" s="1"/>
      <c r="J345" s="1"/>
      <c r="K345" s="1"/>
      <c r="L345" s="1"/>
      <c r="M345" s="1"/>
    </row>
    <row r="346" spans="5:13" x14ac:dyDescent="0.25">
      <c r="E346" s="1"/>
      <c r="F346" s="1"/>
      <c r="G346" s="1"/>
      <c r="H346" s="1"/>
      <c r="I346" s="1"/>
      <c r="J346" s="1"/>
      <c r="K346" s="1"/>
      <c r="L346" s="1"/>
      <c r="M346" s="1"/>
    </row>
    <row r="347" spans="5:13" x14ac:dyDescent="0.25">
      <c r="E347" s="1"/>
      <c r="F347" s="1"/>
      <c r="G347" s="1"/>
      <c r="H347" s="1"/>
      <c r="I347" s="1"/>
      <c r="J347" s="1"/>
      <c r="K347" s="1"/>
      <c r="L347" s="1"/>
      <c r="M347" s="1"/>
    </row>
    <row r="348" spans="5:13" x14ac:dyDescent="0.25">
      <c r="E348" s="1"/>
      <c r="F348" s="1"/>
      <c r="G348" s="1"/>
      <c r="H348" s="1"/>
      <c r="I348" s="1"/>
      <c r="J348" s="1"/>
      <c r="K348" s="1"/>
      <c r="L348" s="1"/>
      <c r="M348" s="1"/>
    </row>
    <row r="349" spans="5:13" x14ac:dyDescent="0.25">
      <c r="E349" s="1"/>
      <c r="F349" s="1"/>
      <c r="G349" s="1"/>
      <c r="H349" s="1"/>
      <c r="I349" s="1"/>
      <c r="J349" s="1"/>
      <c r="K349" s="1"/>
      <c r="L349" s="1"/>
      <c r="M349" s="1"/>
    </row>
    <row r="350" spans="5:13" x14ac:dyDescent="0.25">
      <c r="E350" s="1"/>
      <c r="F350" s="1"/>
      <c r="G350" s="1"/>
      <c r="H350" s="1"/>
      <c r="I350" s="1"/>
      <c r="J350" s="1"/>
      <c r="K350" s="1"/>
      <c r="L350" s="1"/>
      <c r="M350" s="1"/>
    </row>
    <row r="351" spans="5:13" x14ac:dyDescent="0.25">
      <c r="E351" s="1"/>
      <c r="F351" s="1"/>
      <c r="G351" s="1"/>
      <c r="H351" s="1"/>
      <c r="I351" s="1"/>
      <c r="J351" s="1"/>
      <c r="K351" s="1"/>
      <c r="L351" s="1"/>
      <c r="M351" s="1"/>
    </row>
    <row r="352" spans="5:13" x14ac:dyDescent="0.25">
      <c r="E352" s="1"/>
      <c r="F352" s="1"/>
      <c r="G352" s="1"/>
      <c r="H352" s="1"/>
      <c r="I352" s="1"/>
      <c r="J352" s="1"/>
      <c r="K352" s="1"/>
      <c r="L352" s="1"/>
      <c r="M352" s="1"/>
    </row>
    <row r="353" spans="5:13" x14ac:dyDescent="0.25">
      <c r="E353" s="1"/>
      <c r="F353" s="1"/>
      <c r="G353" s="1"/>
      <c r="H353" s="1"/>
      <c r="I353" s="1"/>
      <c r="J353" s="1"/>
      <c r="K353" s="1"/>
      <c r="L353" s="1"/>
      <c r="M353" s="1"/>
    </row>
    <row r="354" spans="5:13" x14ac:dyDescent="0.25">
      <c r="E354" s="1"/>
      <c r="F354" s="1"/>
      <c r="G354" s="1"/>
      <c r="H354" s="1"/>
      <c r="I354" s="1"/>
      <c r="J354" s="1"/>
      <c r="K354" s="1"/>
      <c r="L354" s="1"/>
      <c r="M354" s="1"/>
    </row>
    <row r="355" spans="5:13" x14ac:dyDescent="0.25">
      <c r="E355" s="1"/>
      <c r="F355" s="1"/>
      <c r="G355" s="1"/>
      <c r="H355" s="1"/>
      <c r="I355" s="1"/>
      <c r="J355" s="1"/>
      <c r="K355" s="1"/>
      <c r="L355" s="1"/>
      <c r="M355" s="1"/>
    </row>
    <row r="356" spans="5:13" x14ac:dyDescent="0.25">
      <c r="E356" s="1"/>
      <c r="F356" s="1"/>
      <c r="G356" s="1"/>
      <c r="H356" s="1"/>
      <c r="I356" s="1"/>
      <c r="J356" s="1"/>
      <c r="K356" s="1"/>
      <c r="L356" s="1"/>
      <c r="M356" s="1"/>
    </row>
    <row r="357" spans="5:13" x14ac:dyDescent="0.25">
      <c r="E357" s="1"/>
      <c r="F357" s="1"/>
      <c r="G357" s="1"/>
      <c r="H357" s="1"/>
      <c r="I357" s="1"/>
      <c r="J357" s="1"/>
      <c r="K357" s="1"/>
      <c r="L357" s="1"/>
      <c r="M357" s="1"/>
    </row>
    <row r="358" spans="5:13" x14ac:dyDescent="0.25">
      <c r="E358" s="1"/>
      <c r="F358" s="1"/>
      <c r="G358" s="1"/>
      <c r="H358" s="1"/>
      <c r="I358" s="1"/>
      <c r="J358" s="1"/>
      <c r="K358" s="1"/>
      <c r="L358" s="1"/>
      <c r="M358" s="1"/>
    </row>
    <row r="359" spans="5:13" x14ac:dyDescent="0.25">
      <c r="E359" s="1"/>
      <c r="F359" s="1"/>
      <c r="G359" s="1"/>
      <c r="H359" s="1"/>
      <c r="I359" s="1"/>
      <c r="J359" s="1"/>
      <c r="K359" s="1"/>
      <c r="L359" s="1"/>
      <c r="M359" s="1"/>
    </row>
    <row r="360" spans="5:13" x14ac:dyDescent="0.25">
      <c r="E360" s="1"/>
      <c r="F360" s="1"/>
      <c r="G360" s="1"/>
      <c r="H360" s="1"/>
      <c r="I360" s="1"/>
      <c r="J360" s="1"/>
      <c r="K360" s="1"/>
      <c r="L360" s="1"/>
      <c r="M360" s="1"/>
    </row>
    <row r="361" spans="5:13" x14ac:dyDescent="0.25">
      <c r="E361" s="1"/>
      <c r="F361" s="1"/>
      <c r="G361" s="1"/>
      <c r="H361" s="1"/>
      <c r="I361" s="1"/>
      <c r="J361" s="1"/>
      <c r="K361" s="1"/>
      <c r="L361" s="1"/>
      <c r="M361" s="1"/>
    </row>
    <row r="362" spans="5:13" x14ac:dyDescent="0.25">
      <c r="E362" s="1"/>
      <c r="F362" s="1"/>
      <c r="G362" s="1"/>
      <c r="H362" s="1"/>
      <c r="I362" s="1"/>
      <c r="J362" s="1"/>
      <c r="K362" s="1"/>
      <c r="L362" s="1"/>
      <c r="M362" s="1"/>
    </row>
    <row r="363" spans="5:13" x14ac:dyDescent="0.25">
      <c r="E363" s="1"/>
      <c r="F363" s="1"/>
      <c r="G363" s="1"/>
      <c r="H363" s="1"/>
      <c r="I363" s="1"/>
      <c r="J363" s="1"/>
      <c r="K363" s="1"/>
      <c r="L363" s="1"/>
      <c r="M363" s="1"/>
    </row>
    <row r="364" spans="5:13" x14ac:dyDescent="0.25">
      <c r="E364" s="1"/>
      <c r="F364" s="1"/>
      <c r="G364" s="1"/>
      <c r="H364" s="1"/>
      <c r="I364" s="1"/>
      <c r="J364" s="1"/>
      <c r="K364" s="1"/>
      <c r="L364" s="1"/>
      <c r="M364" s="1"/>
    </row>
    <row r="365" spans="5:13" x14ac:dyDescent="0.25">
      <c r="E365" s="1"/>
      <c r="F365" s="1"/>
      <c r="G365" s="1"/>
      <c r="H365" s="1"/>
      <c r="I365" s="1"/>
      <c r="J365" s="1"/>
      <c r="K365" s="1"/>
      <c r="L365" s="1"/>
      <c r="M365" s="1"/>
    </row>
    <row r="366" spans="5:13" x14ac:dyDescent="0.25">
      <c r="E366" s="1"/>
      <c r="F366" s="1"/>
      <c r="G366" s="1"/>
      <c r="H366" s="1"/>
      <c r="I366" s="1"/>
      <c r="J366" s="1"/>
      <c r="K366" s="1"/>
      <c r="L366" s="1"/>
      <c r="M366" s="1"/>
    </row>
    <row r="367" spans="5:13" x14ac:dyDescent="0.25">
      <c r="E367" s="1"/>
      <c r="F367" s="1"/>
      <c r="G367" s="1"/>
      <c r="H367" s="1"/>
      <c r="I367" s="1"/>
      <c r="J367" s="1"/>
      <c r="K367" s="1"/>
      <c r="L367" s="1"/>
      <c r="M367" s="1"/>
    </row>
    <row r="368" spans="5:13" x14ac:dyDescent="0.25">
      <c r="E368" s="1"/>
      <c r="F368" s="1"/>
      <c r="G368" s="1"/>
      <c r="H368" s="1"/>
      <c r="I368" s="1"/>
      <c r="J368" s="1"/>
      <c r="K368" s="1"/>
      <c r="L368" s="1"/>
      <c r="M368" s="1"/>
    </row>
    <row r="369" spans="5:13" x14ac:dyDescent="0.25">
      <c r="E369" s="1"/>
      <c r="F369" s="1"/>
      <c r="G369" s="1"/>
      <c r="H369" s="1"/>
      <c r="I369" s="1"/>
      <c r="J369" s="1"/>
      <c r="K369" s="1"/>
      <c r="L369" s="1"/>
      <c r="M369" s="1"/>
    </row>
    <row r="370" spans="5:13" x14ac:dyDescent="0.25">
      <c r="E370" s="1"/>
      <c r="F370" s="1"/>
      <c r="G370" s="1"/>
      <c r="H370" s="1"/>
      <c r="I370" s="1"/>
      <c r="J370" s="1"/>
      <c r="K370" s="1"/>
      <c r="L370" s="1"/>
      <c r="M370" s="1"/>
    </row>
    <row r="371" spans="5:13" x14ac:dyDescent="0.25">
      <c r="E371" s="1"/>
      <c r="F371" s="1"/>
      <c r="G371" s="1"/>
      <c r="H371" s="1"/>
      <c r="I371" s="1"/>
      <c r="J371" s="1"/>
      <c r="K371" s="1"/>
      <c r="L371" s="1"/>
      <c r="M371" s="1"/>
    </row>
    <row r="372" spans="5:13" x14ac:dyDescent="0.25">
      <c r="E372" s="1"/>
      <c r="F372" s="1"/>
      <c r="G372" s="1"/>
      <c r="H372" s="1"/>
      <c r="I372" s="1"/>
      <c r="J372" s="1"/>
      <c r="K372" s="1"/>
      <c r="L372" s="1"/>
      <c r="M372" s="1"/>
    </row>
    <row r="373" spans="5:13" x14ac:dyDescent="0.25">
      <c r="E373" s="1"/>
      <c r="F373" s="1"/>
      <c r="G373" s="1"/>
      <c r="H373" s="1"/>
      <c r="I373" s="1"/>
      <c r="J373" s="1"/>
      <c r="K373" s="1"/>
      <c r="L373" s="1"/>
      <c r="M373" s="1"/>
    </row>
    <row r="374" spans="5:13" x14ac:dyDescent="0.25">
      <c r="E374" s="1"/>
      <c r="F374" s="1"/>
      <c r="G374" s="1"/>
      <c r="H374" s="1"/>
      <c r="I374" s="1"/>
      <c r="J374" s="1"/>
      <c r="K374" s="1"/>
      <c r="L374" s="1"/>
      <c r="M374" s="1"/>
    </row>
    <row r="375" spans="5:13" x14ac:dyDescent="0.25">
      <c r="E375" s="1"/>
      <c r="F375" s="1"/>
      <c r="G375" s="1"/>
      <c r="H375" s="1"/>
      <c r="I375" s="1"/>
      <c r="J375" s="1"/>
      <c r="K375" s="1"/>
      <c r="L375" s="1"/>
      <c r="M375" s="1"/>
    </row>
    <row r="376" spans="5:13" x14ac:dyDescent="0.25">
      <c r="E376" s="1"/>
      <c r="F376" s="1"/>
      <c r="G376" s="1"/>
      <c r="H376" s="1"/>
      <c r="I376" s="1"/>
      <c r="J376" s="1"/>
      <c r="K376" s="1"/>
      <c r="L376" s="1"/>
      <c r="M376" s="1"/>
    </row>
    <row r="377" spans="5:13" x14ac:dyDescent="0.25">
      <c r="E377" s="1"/>
      <c r="F377" s="1"/>
      <c r="G377" s="1"/>
      <c r="H377" s="1"/>
      <c r="I377" s="1"/>
      <c r="J377" s="1"/>
      <c r="K377" s="1"/>
      <c r="L377" s="1"/>
      <c r="M377" s="1"/>
    </row>
    <row r="378" spans="5:13" x14ac:dyDescent="0.25">
      <c r="E378" s="1"/>
      <c r="F378" s="1"/>
      <c r="G378" s="1"/>
      <c r="H378" s="1"/>
      <c r="I378" s="1"/>
      <c r="J378" s="1"/>
      <c r="K378" s="1"/>
      <c r="L378" s="1"/>
      <c r="M378" s="1"/>
    </row>
    <row r="379" spans="5:13" x14ac:dyDescent="0.25">
      <c r="E379" s="1"/>
      <c r="F379" s="1"/>
      <c r="G379" s="1"/>
      <c r="H379" s="1"/>
      <c r="I379" s="1"/>
      <c r="J379" s="1"/>
      <c r="K379" s="1"/>
      <c r="L379" s="1"/>
      <c r="M379" s="1"/>
    </row>
    <row r="380" spans="5:13" x14ac:dyDescent="0.25">
      <c r="E380" s="1"/>
      <c r="F380" s="1"/>
      <c r="G380" s="1"/>
      <c r="H380" s="1"/>
      <c r="I380" s="1"/>
      <c r="J380" s="1"/>
      <c r="K380" s="1"/>
      <c r="L380" s="1"/>
      <c r="M380" s="1"/>
    </row>
    <row r="381" spans="5:13" x14ac:dyDescent="0.25">
      <c r="E381" s="1"/>
      <c r="F381" s="1"/>
      <c r="G381" s="1"/>
      <c r="H381" s="1"/>
      <c r="I381" s="1"/>
      <c r="J381" s="1"/>
      <c r="K381" s="1"/>
      <c r="L381" s="1"/>
      <c r="M381" s="1"/>
    </row>
    <row r="382" spans="5:13" x14ac:dyDescent="0.25">
      <c r="E382" s="1"/>
      <c r="F382" s="1"/>
      <c r="G382" s="1"/>
      <c r="H382" s="1"/>
      <c r="I382" s="1"/>
      <c r="J382" s="1"/>
      <c r="K382" s="1"/>
      <c r="L382" s="1"/>
      <c r="M382" s="1"/>
    </row>
    <row r="383" spans="5:13" x14ac:dyDescent="0.25">
      <c r="E383" s="1"/>
      <c r="F383" s="1"/>
      <c r="G383" s="1"/>
      <c r="H383" s="1"/>
      <c r="I383" s="1"/>
      <c r="J383" s="1"/>
      <c r="K383" s="1"/>
      <c r="L383" s="1"/>
      <c r="M383" s="1"/>
    </row>
    <row r="384" spans="5:13" x14ac:dyDescent="0.25">
      <c r="E384" s="1"/>
      <c r="F384" s="1"/>
      <c r="G384" s="1"/>
      <c r="H384" s="1"/>
      <c r="I384" s="1"/>
      <c r="J384" s="1"/>
      <c r="K384" s="1"/>
      <c r="L384" s="1"/>
      <c r="M384" s="1"/>
    </row>
    <row r="385" spans="5:13" x14ac:dyDescent="0.25">
      <c r="E385" s="1"/>
      <c r="F385" s="1"/>
      <c r="G385" s="1"/>
      <c r="H385" s="1"/>
      <c r="I385" s="1"/>
      <c r="J385" s="1"/>
      <c r="K385" s="1"/>
      <c r="L385" s="1"/>
      <c r="M385" s="1"/>
    </row>
    <row r="386" spans="5:13" x14ac:dyDescent="0.25">
      <c r="E386" s="1"/>
      <c r="F386" s="1"/>
      <c r="G386" s="1"/>
      <c r="H386" s="1"/>
      <c r="I386" s="1"/>
      <c r="J386" s="1"/>
      <c r="K386" s="1"/>
      <c r="L386" s="1"/>
      <c r="M386" s="1"/>
    </row>
    <row r="387" spans="5:13" x14ac:dyDescent="0.25">
      <c r="E387" s="1"/>
      <c r="F387" s="1"/>
      <c r="G387" s="1"/>
      <c r="H387" s="1"/>
      <c r="I387" s="1"/>
      <c r="J387" s="1"/>
      <c r="K387" s="1"/>
      <c r="L387" s="1"/>
      <c r="M387" s="1"/>
    </row>
    <row r="388" spans="5:13" x14ac:dyDescent="0.25">
      <c r="E388" s="1"/>
      <c r="F388" s="1"/>
      <c r="G388" s="1"/>
      <c r="H388" s="1"/>
      <c r="I388" s="1"/>
      <c r="J388" s="1"/>
      <c r="K388" s="1"/>
      <c r="L388" s="1"/>
      <c r="M388" s="1"/>
    </row>
    <row r="389" spans="5:13" x14ac:dyDescent="0.25">
      <c r="E389" s="1"/>
      <c r="F389" s="1"/>
      <c r="G389" s="1"/>
      <c r="H389" s="1"/>
      <c r="I389" s="1"/>
      <c r="J389" s="1"/>
      <c r="K389" s="1"/>
      <c r="L389" s="1"/>
      <c r="M389" s="1"/>
    </row>
    <row r="390" spans="5:13" x14ac:dyDescent="0.25">
      <c r="E390" s="1"/>
      <c r="F390" s="1"/>
      <c r="G390" s="1"/>
      <c r="H390" s="1"/>
      <c r="I390" s="1"/>
      <c r="J390" s="1"/>
      <c r="K390" s="1"/>
      <c r="L390" s="1"/>
      <c r="M390" s="1"/>
    </row>
    <row r="391" spans="5:13" x14ac:dyDescent="0.25">
      <c r="E391" s="1"/>
      <c r="F391" s="1"/>
      <c r="G391" s="1"/>
      <c r="H391" s="1"/>
      <c r="I391" s="1"/>
      <c r="J391" s="1"/>
      <c r="K391" s="1"/>
      <c r="L391" s="1"/>
      <c r="M391" s="1"/>
    </row>
    <row r="392" spans="5:13" x14ac:dyDescent="0.25">
      <c r="E392" s="1"/>
      <c r="F392" s="1"/>
      <c r="G392" s="1"/>
      <c r="H392" s="1"/>
      <c r="I392" s="1"/>
      <c r="J392" s="1"/>
      <c r="K392" s="1"/>
      <c r="L392" s="1"/>
      <c r="M392" s="1"/>
    </row>
    <row r="393" spans="5:13" x14ac:dyDescent="0.25">
      <c r="E393" s="1"/>
      <c r="F393" s="1"/>
      <c r="G393" s="1"/>
      <c r="H393" s="1"/>
      <c r="I393" s="1"/>
      <c r="J393" s="1"/>
      <c r="K393" s="1"/>
      <c r="L393" s="1"/>
      <c r="M393" s="1"/>
    </row>
    <row r="394" spans="5:13" x14ac:dyDescent="0.25">
      <c r="E394" s="1"/>
      <c r="F394" s="1"/>
      <c r="G394" s="1"/>
      <c r="H394" s="1"/>
      <c r="I394" s="1"/>
      <c r="J394" s="1"/>
      <c r="K394" s="1"/>
      <c r="L394" s="1"/>
      <c r="M394" s="1"/>
    </row>
    <row r="395" spans="5:13" x14ac:dyDescent="0.25">
      <c r="E395" s="1"/>
      <c r="F395" s="1"/>
      <c r="G395" s="1"/>
      <c r="H395" s="1"/>
      <c r="I395" s="1"/>
      <c r="J395" s="1"/>
      <c r="K395" s="1"/>
      <c r="L395" s="1"/>
      <c r="M395" s="1"/>
    </row>
    <row r="396" spans="5:13" x14ac:dyDescent="0.25">
      <c r="E396" s="1"/>
      <c r="F396" s="1"/>
      <c r="G396" s="1"/>
      <c r="H396" s="1"/>
      <c r="I396" s="1"/>
      <c r="J396" s="1"/>
      <c r="K396" s="1"/>
      <c r="L396" s="1"/>
      <c r="M396" s="1"/>
    </row>
    <row r="397" spans="5:13" x14ac:dyDescent="0.25">
      <c r="E397" s="1"/>
      <c r="F397" s="1"/>
      <c r="G397" s="1"/>
      <c r="H397" s="1"/>
      <c r="I397" s="1"/>
      <c r="J397" s="1"/>
      <c r="K397" s="1"/>
      <c r="L397" s="1"/>
      <c r="M397" s="1"/>
    </row>
    <row r="398" spans="5:13" x14ac:dyDescent="0.25">
      <c r="E398" s="1"/>
      <c r="F398" s="1"/>
      <c r="G398" s="1"/>
      <c r="H398" s="1"/>
      <c r="I398" s="1"/>
      <c r="J398" s="1"/>
      <c r="K398" s="1"/>
      <c r="L398" s="1"/>
      <c r="M398" s="1"/>
    </row>
    <row r="399" spans="5:13" x14ac:dyDescent="0.25">
      <c r="E399" s="1"/>
      <c r="F399" s="1"/>
      <c r="G399" s="1"/>
      <c r="H399" s="1"/>
      <c r="I399" s="1"/>
      <c r="J399" s="1"/>
      <c r="K399" s="1"/>
      <c r="L399" s="1"/>
      <c r="M399" s="1"/>
    </row>
    <row r="400" spans="5:13" x14ac:dyDescent="0.25">
      <c r="E400" s="1"/>
      <c r="F400" s="1"/>
      <c r="G400" s="1"/>
      <c r="H400" s="1"/>
      <c r="I400" s="1"/>
      <c r="J400" s="1"/>
      <c r="K400" s="1"/>
      <c r="L400" s="1"/>
      <c r="M400" s="1"/>
    </row>
    <row r="401" spans="5:13" x14ac:dyDescent="0.25">
      <c r="E401" s="1"/>
      <c r="F401" s="1"/>
      <c r="G401" s="1"/>
      <c r="H401" s="1"/>
      <c r="I401" s="1"/>
      <c r="J401" s="1"/>
      <c r="K401" s="1"/>
      <c r="L401" s="1"/>
      <c r="M401" s="1"/>
    </row>
    <row r="402" spans="5:13" x14ac:dyDescent="0.25">
      <c r="E402" s="1"/>
      <c r="F402" s="1"/>
      <c r="G402" s="1"/>
      <c r="H402" s="1"/>
      <c r="I402" s="1"/>
      <c r="J402" s="1"/>
      <c r="K402" s="1"/>
      <c r="L402" s="1"/>
      <c r="M402" s="1"/>
    </row>
    <row r="403" spans="5:13" x14ac:dyDescent="0.25">
      <c r="E403" s="1"/>
      <c r="F403" s="1"/>
      <c r="G403" s="1"/>
      <c r="H403" s="1"/>
      <c r="I403" s="1"/>
      <c r="J403" s="1"/>
      <c r="K403" s="1"/>
      <c r="L403" s="1"/>
      <c r="M403" s="1"/>
    </row>
    <row r="404" spans="5:13" x14ac:dyDescent="0.25">
      <c r="E404" s="1"/>
      <c r="F404" s="1"/>
      <c r="G404" s="1"/>
      <c r="H404" s="1"/>
      <c r="I404" s="1"/>
      <c r="J404" s="1"/>
      <c r="K404" s="1"/>
      <c r="L404" s="1"/>
      <c r="M404" s="1"/>
    </row>
    <row r="405" spans="5:13" x14ac:dyDescent="0.25">
      <c r="E405" s="1"/>
      <c r="F405" s="1"/>
      <c r="G405" s="1"/>
      <c r="H405" s="1"/>
      <c r="I405" s="1"/>
      <c r="J405" s="1"/>
      <c r="K405" s="1"/>
      <c r="L405" s="1"/>
      <c r="M405" s="1"/>
    </row>
    <row r="406" spans="5:13" x14ac:dyDescent="0.25">
      <c r="E406" s="1"/>
      <c r="F406" s="1"/>
      <c r="G406" s="1"/>
      <c r="H406" s="1"/>
      <c r="I406" s="1"/>
      <c r="J406" s="1"/>
      <c r="K406" s="1"/>
      <c r="L406" s="1"/>
      <c r="M406" s="1"/>
    </row>
    <row r="407" spans="5:13" x14ac:dyDescent="0.25">
      <c r="E407" s="1"/>
      <c r="F407" s="1"/>
      <c r="G407" s="1"/>
      <c r="H407" s="1"/>
      <c r="I407" s="1"/>
      <c r="J407" s="1"/>
      <c r="K407" s="1"/>
      <c r="L407" s="1"/>
      <c r="M407" s="1"/>
    </row>
    <row r="408" spans="5:13" x14ac:dyDescent="0.25">
      <c r="E408" s="1"/>
      <c r="F408" s="1"/>
      <c r="G408" s="1"/>
      <c r="H408" s="1"/>
      <c r="I408" s="1"/>
      <c r="J408" s="1"/>
      <c r="K408" s="1"/>
      <c r="L408" s="1"/>
      <c r="M408" s="1"/>
    </row>
    <row r="409" spans="5:13" x14ac:dyDescent="0.25">
      <c r="E409" s="1"/>
      <c r="F409" s="1"/>
      <c r="G409" s="1"/>
      <c r="H409" s="1"/>
      <c r="I409" s="1"/>
      <c r="J409" s="1"/>
      <c r="K409" s="1"/>
      <c r="L409" s="1"/>
      <c r="M409" s="1"/>
    </row>
    <row r="410" spans="5:13" x14ac:dyDescent="0.25">
      <c r="E410" s="1"/>
      <c r="F410" s="1"/>
      <c r="G410" s="1"/>
      <c r="H410" s="1"/>
      <c r="I410" s="1"/>
      <c r="J410" s="1"/>
      <c r="K410" s="1"/>
      <c r="L410" s="1"/>
      <c r="M410" s="1"/>
    </row>
    <row r="411" spans="5:13" x14ac:dyDescent="0.25">
      <c r="E411" s="1"/>
      <c r="F411" s="1"/>
      <c r="G411" s="1"/>
      <c r="H411" s="1"/>
      <c r="I411" s="1"/>
      <c r="J411" s="1"/>
      <c r="K411" s="1"/>
      <c r="L411" s="1"/>
      <c r="M411" s="1"/>
    </row>
    <row r="412" spans="5:13" x14ac:dyDescent="0.25">
      <c r="E412" s="1"/>
      <c r="F412" s="1"/>
      <c r="G412" s="1"/>
      <c r="H412" s="1"/>
      <c r="I412" s="1"/>
      <c r="J412" s="1"/>
      <c r="K412" s="1"/>
      <c r="L412" s="1"/>
      <c r="M412" s="1"/>
    </row>
    <row r="413" spans="5:13" x14ac:dyDescent="0.25">
      <c r="E413" s="1"/>
      <c r="F413" s="1"/>
      <c r="G413" s="1"/>
      <c r="H413" s="1"/>
      <c r="I413" s="1"/>
      <c r="J413" s="1"/>
      <c r="K413" s="1"/>
      <c r="L413" s="1"/>
      <c r="M413" s="1"/>
    </row>
    <row r="414" spans="5:13" x14ac:dyDescent="0.25">
      <c r="E414" s="1"/>
      <c r="F414" s="1"/>
      <c r="G414" s="1"/>
      <c r="H414" s="1"/>
      <c r="I414" s="1"/>
      <c r="J414" s="1"/>
      <c r="K414" s="1"/>
      <c r="L414" s="1"/>
      <c r="M414" s="1"/>
    </row>
    <row r="415" spans="5:13" x14ac:dyDescent="0.25">
      <c r="E415" s="1"/>
      <c r="F415" s="1"/>
      <c r="G415" s="1"/>
      <c r="H415" s="1"/>
      <c r="I415" s="1"/>
      <c r="J415" s="1"/>
      <c r="K415" s="1"/>
      <c r="L415" s="1"/>
      <c r="M415" s="1"/>
    </row>
    <row r="416" spans="5:13" x14ac:dyDescent="0.25">
      <c r="E416" s="1"/>
      <c r="F416" s="1"/>
      <c r="G416" s="1"/>
      <c r="H416" s="1"/>
      <c r="I416" s="1"/>
      <c r="J416" s="1"/>
      <c r="K416" s="1"/>
      <c r="L416" s="1"/>
      <c r="M416" s="1"/>
    </row>
    <row r="417" spans="5:13" x14ac:dyDescent="0.25">
      <c r="E417" s="1"/>
      <c r="F417" s="1"/>
      <c r="G417" s="1"/>
      <c r="H417" s="1"/>
      <c r="I417" s="1"/>
      <c r="J417" s="1"/>
      <c r="K417" s="1"/>
      <c r="L417" s="1"/>
      <c r="M417" s="1"/>
    </row>
    <row r="418" spans="5:13" x14ac:dyDescent="0.25">
      <c r="E418" s="1"/>
      <c r="F418" s="1"/>
      <c r="G418" s="1"/>
      <c r="H418" s="1"/>
      <c r="I418" s="1"/>
      <c r="J418" s="1"/>
      <c r="K418" s="1"/>
      <c r="L418" s="1"/>
      <c r="M418" s="1"/>
    </row>
    <row r="419" spans="5:13" x14ac:dyDescent="0.25">
      <c r="E419" s="1"/>
      <c r="F419" s="1"/>
      <c r="G419" s="1"/>
      <c r="H419" s="1"/>
      <c r="I419" s="1"/>
      <c r="J419" s="1"/>
      <c r="K419" s="1"/>
      <c r="L419" s="1"/>
      <c r="M419" s="1"/>
    </row>
    <row r="420" spans="5:13" x14ac:dyDescent="0.25">
      <c r="E420" s="1"/>
      <c r="F420" s="1"/>
      <c r="G420" s="1"/>
      <c r="H420" s="1"/>
      <c r="I420" s="1"/>
      <c r="J420" s="1"/>
      <c r="K420" s="1"/>
      <c r="L420" s="1"/>
      <c r="M420" s="1"/>
    </row>
    <row r="421" spans="5:13" x14ac:dyDescent="0.25">
      <c r="E421" s="1"/>
      <c r="F421" s="1"/>
      <c r="G421" s="1"/>
      <c r="H421" s="1"/>
      <c r="I421" s="1"/>
      <c r="J421" s="1"/>
      <c r="K421" s="1"/>
      <c r="L421" s="1"/>
      <c r="M421" s="1"/>
    </row>
    <row r="422" spans="5:13" x14ac:dyDescent="0.25">
      <c r="E422" s="1"/>
      <c r="F422" s="1"/>
      <c r="G422" s="1"/>
      <c r="H422" s="1"/>
      <c r="I422" s="1"/>
      <c r="J422" s="1"/>
      <c r="K422" s="1"/>
      <c r="L422" s="1"/>
      <c r="M422" s="1"/>
    </row>
    <row r="423" spans="5:13" x14ac:dyDescent="0.25">
      <c r="E423" s="1"/>
      <c r="F423" s="1"/>
      <c r="G423" s="1"/>
      <c r="H423" s="1"/>
      <c r="I423" s="1"/>
      <c r="J423" s="1"/>
      <c r="K423" s="1"/>
      <c r="L423" s="1"/>
      <c r="M423" s="1"/>
    </row>
    <row r="424" spans="5:13" x14ac:dyDescent="0.25">
      <c r="E424" s="1"/>
      <c r="F424" s="1"/>
      <c r="G424" s="1"/>
      <c r="H424" s="1"/>
      <c r="I424" s="1"/>
      <c r="J424" s="1"/>
      <c r="K424" s="1"/>
      <c r="L424" s="1"/>
      <c r="M424" s="1"/>
    </row>
    <row r="425" spans="5:13" x14ac:dyDescent="0.25">
      <c r="E425" s="1"/>
      <c r="F425" s="1"/>
      <c r="G425" s="1"/>
      <c r="H425" s="1"/>
      <c r="I425" s="1"/>
      <c r="J425" s="1"/>
      <c r="K425" s="1"/>
      <c r="L425" s="1"/>
      <c r="M425" s="1"/>
    </row>
    <row r="426" spans="5:13" x14ac:dyDescent="0.25">
      <c r="E426" s="1"/>
      <c r="F426" s="1"/>
      <c r="G426" s="1"/>
      <c r="H426" s="1"/>
      <c r="I426" s="1"/>
      <c r="J426" s="1"/>
      <c r="K426" s="1"/>
      <c r="L426" s="1"/>
      <c r="M426" s="1"/>
    </row>
    <row r="427" spans="5:13" x14ac:dyDescent="0.25">
      <c r="E427" s="1"/>
      <c r="F427" s="1"/>
      <c r="G427" s="1"/>
      <c r="H427" s="1"/>
      <c r="I427" s="1"/>
      <c r="J427" s="1"/>
      <c r="K427" s="1"/>
      <c r="L427" s="1"/>
      <c r="M427" s="1"/>
    </row>
    <row r="428" spans="5:13" x14ac:dyDescent="0.25">
      <c r="E428" s="1"/>
      <c r="F428" s="1"/>
      <c r="G428" s="1"/>
      <c r="H428" s="1"/>
      <c r="I428" s="1"/>
      <c r="J428" s="1"/>
      <c r="K428" s="1"/>
      <c r="L428" s="1"/>
      <c r="M428" s="1"/>
    </row>
    <row r="429" spans="5:13" x14ac:dyDescent="0.25">
      <c r="E429" s="1"/>
      <c r="F429" s="1"/>
      <c r="G429" s="1"/>
      <c r="H429" s="1"/>
      <c r="I429" s="1"/>
      <c r="J429" s="1"/>
      <c r="K429" s="1"/>
      <c r="L429" s="1"/>
      <c r="M429" s="1"/>
    </row>
    <row r="430" spans="5:13" x14ac:dyDescent="0.25">
      <c r="E430" s="1"/>
      <c r="F430" s="1"/>
      <c r="G430" s="1"/>
      <c r="H430" s="1"/>
      <c r="I430" s="1"/>
      <c r="J430" s="1"/>
      <c r="K430" s="1"/>
      <c r="L430" s="1"/>
      <c r="M430" s="1"/>
    </row>
    <row r="431" spans="5:13" x14ac:dyDescent="0.25">
      <c r="E431" s="1"/>
      <c r="F431" s="1"/>
      <c r="G431" s="1"/>
      <c r="H431" s="1"/>
      <c r="I431" s="1"/>
      <c r="J431" s="1"/>
      <c r="K431" s="1"/>
      <c r="L431" s="1"/>
      <c r="M431" s="1"/>
    </row>
    <row r="432" spans="5:13" x14ac:dyDescent="0.25">
      <c r="E432" s="1"/>
      <c r="F432" s="1"/>
      <c r="G432" s="1"/>
      <c r="H432" s="1"/>
      <c r="I432" s="1"/>
      <c r="J432" s="1"/>
      <c r="K432" s="1"/>
      <c r="L432" s="1"/>
      <c r="M432" s="1"/>
    </row>
    <row r="433" spans="5:13" x14ac:dyDescent="0.25">
      <c r="E433" s="1"/>
      <c r="F433" s="1"/>
      <c r="G433" s="1"/>
      <c r="H433" s="1"/>
      <c r="I433" s="1"/>
      <c r="J433" s="1"/>
      <c r="K433" s="1"/>
      <c r="L433" s="1"/>
      <c r="M433" s="1"/>
    </row>
    <row r="434" spans="5:13" x14ac:dyDescent="0.25">
      <c r="E434" s="1"/>
      <c r="F434" s="1"/>
      <c r="G434" s="1"/>
      <c r="H434" s="1"/>
      <c r="I434" s="1"/>
      <c r="J434" s="1"/>
      <c r="K434" s="1"/>
      <c r="L434" s="1"/>
      <c r="M434" s="1"/>
    </row>
    <row r="435" spans="5:13" x14ac:dyDescent="0.25">
      <c r="E435" s="1"/>
      <c r="F435" s="1"/>
      <c r="G435" s="1"/>
      <c r="H435" s="1"/>
      <c r="I435" s="1"/>
      <c r="J435" s="1"/>
      <c r="K435" s="1"/>
      <c r="L435" s="1"/>
      <c r="M435" s="1"/>
    </row>
    <row r="436" spans="5:13" x14ac:dyDescent="0.25">
      <c r="E436" s="1"/>
      <c r="F436" s="1"/>
      <c r="G436" s="1"/>
      <c r="H436" s="1"/>
      <c r="I436" s="1"/>
      <c r="J436" s="1"/>
      <c r="K436" s="1"/>
      <c r="L436" s="1"/>
      <c r="M436" s="1"/>
    </row>
    <row r="437" spans="5:13" x14ac:dyDescent="0.25">
      <c r="E437" s="1"/>
      <c r="F437" s="1"/>
      <c r="G437" s="1"/>
      <c r="H437" s="1"/>
      <c r="I437" s="1"/>
      <c r="J437" s="1"/>
      <c r="K437" s="1"/>
      <c r="L437" s="1"/>
      <c r="M437" s="1"/>
    </row>
    <row r="438" spans="5:13" x14ac:dyDescent="0.25">
      <c r="E438" s="1"/>
      <c r="F438" s="1"/>
      <c r="G438" s="1"/>
      <c r="H438" s="1"/>
      <c r="I438" s="1"/>
      <c r="J438" s="1"/>
      <c r="K438" s="1"/>
      <c r="L438" s="1"/>
      <c r="M438" s="1"/>
    </row>
    <row r="439" spans="5:13" x14ac:dyDescent="0.25">
      <c r="E439" s="1"/>
      <c r="F439" s="1"/>
      <c r="G439" s="1"/>
      <c r="H439" s="1"/>
      <c r="I439" s="1"/>
      <c r="J439" s="1"/>
      <c r="K439" s="1"/>
      <c r="L439" s="1"/>
      <c r="M439" s="1"/>
    </row>
    <row r="440" spans="5:13" x14ac:dyDescent="0.25">
      <c r="E440" s="1"/>
      <c r="F440" s="1"/>
      <c r="G440" s="1"/>
      <c r="H440" s="1"/>
      <c r="I440" s="1"/>
      <c r="J440" s="1"/>
      <c r="K440" s="1"/>
      <c r="L440" s="1"/>
      <c r="M440" s="1"/>
    </row>
    <row r="441" spans="5:13" x14ac:dyDescent="0.25">
      <c r="E441" s="1"/>
      <c r="F441" s="1"/>
      <c r="G441" s="1"/>
      <c r="H441" s="1"/>
      <c r="I441" s="1"/>
      <c r="J441" s="1"/>
      <c r="K441" s="1"/>
      <c r="L441" s="1"/>
      <c r="M441" s="1"/>
    </row>
    <row r="442" spans="5:13" x14ac:dyDescent="0.25">
      <c r="E442" s="1"/>
      <c r="F442" s="1"/>
      <c r="G442" s="1"/>
      <c r="H442" s="1"/>
      <c r="I442" s="1"/>
      <c r="J442" s="1"/>
      <c r="K442" s="1"/>
      <c r="L442" s="1"/>
      <c r="M442" s="1"/>
    </row>
    <row r="443" spans="5:13" x14ac:dyDescent="0.25">
      <c r="E443" s="1"/>
      <c r="F443" s="1"/>
      <c r="G443" s="1"/>
      <c r="H443" s="1"/>
      <c r="I443" s="1"/>
      <c r="J443" s="1"/>
      <c r="K443" s="1"/>
      <c r="L443" s="1"/>
      <c r="M443" s="1"/>
    </row>
    <row r="444" spans="5:13" x14ac:dyDescent="0.25">
      <c r="E444" s="1"/>
      <c r="F444" s="1"/>
      <c r="G444" s="1"/>
      <c r="H444" s="1"/>
      <c r="I444" s="1"/>
      <c r="J444" s="1"/>
      <c r="K444" s="1"/>
      <c r="L444" s="1"/>
      <c r="M444" s="1"/>
    </row>
    <row r="445" spans="5:13" x14ac:dyDescent="0.25">
      <c r="E445" s="1"/>
      <c r="F445" s="1"/>
      <c r="G445" s="1"/>
      <c r="H445" s="1"/>
      <c r="I445" s="1"/>
      <c r="J445" s="1"/>
      <c r="K445" s="1"/>
      <c r="L445" s="1"/>
      <c r="M445" s="1"/>
    </row>
    <row r="446" spans="5:13" x14ac:dyDescent="0.25">
      <c r="E446" s="1"/>
      <c r="F446" s="1"/>
      <c r="G446" s="1"/>
      <c r="H446" s="1"/>
      <c r="I446" s="1"/>
      <c r="J446" s="1"/>
      <c r="K446" s="1"/>
      <c r="L446" s="1"/>
      <c r="M446" s="1"/>
    </row>
    <row r="447" spans="5:13" x14ac:dyDescent="0.25">
      <c r="E447" s="1"/>
      <c r="F447" s="1"/>
      <c r="G447" s="1"/>
      <c r="H447" s="1"/>
      <c r="I447" s="1"/>
      <c r="J447" s="1"/>
      <c r="K447" s="1"/>
      <c r="L447" s="1"/>
      <c r="M447" s="1"/>
    </row>
    <row r="448" spans="5:13" x14ac:dyDescent="0.25">
      <c r="E448" s="1"/>
      <c r="F448" s="1"/>
      <c r="G448" s="1"/>
      <c r="H448" s="1"/>
      <c r="I448" s="1"/>
      <c r="J448" s="1"/>
      <c r="K448" s="1"/>
      <c r="L448" s="1"/>
      <c r="M448" s="1"/>
    </row>
    <row r="449" spans="5:13" x14ac:dyDescent="0.25">
      <c r="E449" s="1"/>
      <c r="F449" s="1"/>
      <c r="G449" s="1"/>
      <c r="H449" s="1"/>
      <c r="I449" s="1"/>
      <c r="J449" s="1"/>
      <c r="K449" s="1"/>
      <c r="L449" s="1"/>
      <c r="M449" s="1"/>
    </row>
    <row r="450" spans="5:13" x14ac:dyDescent="0.25">
      <c r="E450" s="1"/>
      <c r="F450" s="1"/>
      <c r="G450" s="1"/>
      <c r="H450" s="1"/>
      <c r="I450" s="1"/>
      <c r="J450" s="1"/>
      <c r="K450" s="1"/>
      <c r="L450" s="1"/>
      <c r="M450" s="1"/>
    </row>
    <row r="451" spans="5:13" x14ac:dyDescent="0.25">
      <c r="E451" s="1"/>
      <c r="F451" s="1"/>
      <c r="G451" s="1"/>
      <c r="H451" s="1"/>
      <c r="I451" s="1"/>
      <c r="J451" s="1"/>
      <c r="K451" s="1"/>
      <c r="L451" s="1"/>
      <c r="M451" s="1"/>
    </row>
    <row r="452" spans="5:13" x14ac:dyDescent="0.25">
      <c r="E452" s="1"/>
      <c r="F452" s="1"/>
      <c r="G452" s="1"/>
      <c r="H452" s="1"/>
      <c r="I452" s="1"/>
      <c r="J452" s="1"/>
      <c r="K452" s="1"/>
      <c r="L452" s="1"/>
      <c r="M452" s="1"/>
    </row>
    <row r="453" spans="5:13" x14ac:dyDescent="0.25">
      <c r="E453" s="1"/>
      <c r="F453" s="1"/>
      <c r="G453" s="1"/>
      <c r="H453" s="1"/>
      <c r="I453" s="1"/>
      <c r="J453" s="1"/>
      <c r="K453" s="1"/>
      <c r="L453" s="1"/>
      <c r="M453" s="1"/>
    </row>
    <row r="454" spans="5:13" x14ac:dyDescent="0.25">
      <c r="E454" s="1"/>
      <c r="F454" s="1"/>
      <c r="G454" s="1"/>
      <c r="H454" s="1"/>
      <c r="I454" s="1"/>
      <c r="J454" s="1"/>
      <c r="K454" s="1"/>
      <c r="L454" s="1"/>
      <c r="M454" s="1"/>
    </row>
    <row r="455" spans="5:13" x14ac:dyDescent="0.25">
      <c r="E455" s="1"/>
      <c r="F455" s="1"/>
      <c r="G455" s="1"/>
      <c r="H455" s="1"/>
      <c r="I455" s="1"/>
      <c r="J455" s="1"/>
      <c r="K455" s="1"/>
      <c r="L455" s="1"/>
      <c r="M455" s="1"/>
    </row>
    <row r="456" spans="5:13" x14ac:dyDescent="0.25">
      <c r="E456" s="1"/>
      <c r="F456" s="1"/>
      <c r="G456" s="1"/>
      <c r="H456" s="1"/>
      <c r="I456" s="1"/>
      <c r="J456" s="1"/>
      <c r="K456" s="1"/>
      <c r="L456" s="1"/>
      <c r="M456" s="1"/>
    </row>
    <row r="457" spans="5:13" x14ac:dyDescent="0.25">
      <c r="E457" s="1"/>
      <c r="F457" s="1"/>
      <c r="G457" s="1"/>
      <c r="H457" s="1"/>
      <c r="I457" s="1"/>
      <c r="J457" s="1"/>
      <c r="K457" s="1"/>
      <c r="L457" s="1"/>
      <c r="M457" s="1"/>
    </row>
    <row r="458" spans="5:13" x14ac:dyDescent="0.25">
      <c r="E458" s="1"/>
      <c r="F458" s="1"/>
      <c r="G458" s="1"/>
      <c r="H458" s="1"/>
      <c r="I458" s="1"/>
      <c r="J458" s="1"/>
      <c r="K458" s="1"/>
      <c r="L458" s="1"/>
      <c r="M458" s="1"/>
    </row>
    <row r="459" spans="5:13" x14ac:dyDescent="0.25">
      <c r="E459" s="1"/>
      <c r="F459" s="1"/>
      <c r="G459" s="1"/>
      <c r="H459" s="1"/>
      <c r="I459" s="1"/>
      <c r="J459" s="1"/>
      <c r="K459" s="1"/>
      <c r="L459" s="1"/>
      <c r="M459" s="1"/>
    </row>
    <row r="460" spans="5:13" x14ac:dyDescent="0.25">
      <c r="E460" s="1"/>
      <c r="F460" s="1"/>
      <c r="G460" s="1"/>
      <c r="H460" s="1"/>
      <c r="I460" s="1"/>
      <c r="J460" s="1"/>
      <c r="K460" s="1"/>
      <c r="L460" s="1"/>
      <c r="M460" s="1"/>
    </row>
    <row r="461" spans="5:13" x14ac:dyDescent="0.25">
      <c r="E461" s="1"/>
      <c r="F461" s="1"/>
      <c r="G461" s="1"/>
      <c r="H461" s="1"/>
      <c r="I461" s="1"/>
      <c r="J461" s="1"/>
      <c r="K461" s="1"/>
      <c r="L461" s="1"/>
      <c r="M461" s="1"/>
    </row>
    <row r="462" spans="5:13" x14ac:dyDescent="0.25">
      <c r="E462" s="1"/>
      <c r="F462" s="1"/>
      <c r="G462" s="1"/>
      <c r="H462" s="1"/>
      <c r="I462" s="1"/>
      <c r="J462" s="1"/>
      <c r="K462" s="1"/>
      <c r="L462" s="1"/>
      <c r="M462" s="1"/>
    </row>
    <row r="463" spans="5:13" x14ac:dyDescent="0.25">
      <c r="E463" s="1"/>
      <c r="F463" s="1"/>
      <c r="G463" s="1"/>
      <c r="H463" s="1"/>
      <c r="I463" s="1"/>
      <c r="J463" s="1"/>
      <c r="K463" s="1"/>
      <c r="L463" s="1"/>
      <c r="M463" s="1"/>
    </row>
    <row r="464" spans="5:13" x14ac:dyDescent="0.25">
      <c r="E464" s="1"/>
      <c r="F464" s="1"/>
      <c r="G464" s="1"/>
      <c r="H464" s="1"/>
      <c r="I464" s="1"/>
      <c r="J464" s="1"/>
      <c r="K464" s="1"/>
      <c r="L464" s="1"/>
      <c r="M464" s="1"/>
    </row>
    <row r="465" spans="5:13" x14ac:dyDescent="0.25">
      <c r="E465" s="1"/>
      <c r="F465" s="1"/>
      <c r="G465" s="1"/>
      <c r="H465" s="1"/>
      <c r="I465" s="1"/>
      <c r="J465" s="1"/>
      <c r="K465" s="1"/>
      <c r="L465" s="1"/>
      <c r="M465" s="1"/>
    </row>
    <row r="466" spans="5:13" x14ac:dyDescent="0.25">
      <c r="E466" s="1"/>
      <c r="F466" s="1"/>
      <c r="G466" s="1"/>
      <c r="H466" s="1"/>
      <c r="I466" s="1"/>
      <c r="J466" s="1"/>
      <c r="K466" s="1"/>
      <c r="L466" s="1"/>
      <c r="M466" s="1"/>
    </row>
    <row r="467" spans="5:13" x14ac:dyDescent="0.25">
      <c r="E467" s="1"/>
      <c r="F467" s="1"/>
      <c r="G467" s="1"/>
      <c r="H467" s="1"/>
      <c r="I467" s="1"/>
      <c r="J467" s="1"/>
      <c r="K467" s="1"/>
      <c r="L467" s="1"/>
      <c r="M467" s="1"/>
    </row>
    <row r="468" spans="5:13" x14ac:dyDescent="0.25">
      <c r="E468" s="1"/>
      <c r="F468" s="1"/>
      <c r="G468" s="1"/>
      <c r="H468" s="1"/>
      <c r="I468" s="1"/>
      <c r="J468" s="1"/>
      <c r="K468" s="1"/>
      <c r="L468" s="1"/>
      <c r="M468" s="1"/>
    </row>
    <row r="469" spans="5:13" x14ac:dyDescent="0.25">
      <c r="E469" s="1"/>
      <c r="F469" s="1"/>
      <c r="G469" s="1"/>
      <c r="H469" s="1"/>
      <c r="I469" s="1"/>
      <c r="J469" s="1"/>
      <c r="K469" s="1"/>
      <c r="L469" s="1"/>
      <c r="M469" s="1"/>
    </row>
    <row r="470" spans="5:13" x14ac:dyDescent="0.25">
      <c r="E470" s="1"/>
      <c r="F470" s="1"/>
      <c r="G470" s="1"/>
      <c r="H470" s="1"/>
      <c r="I470" s="1"/>
      <c r="J470" s="1"/>
      <c r="K470" s="1"/>
      <c r="L470" s="1"/>
      <c r="M470" s="1"/>
    </row>
    <row r="471" spans="5:13" x14ac:dyDescent="0.25">
      <c r="E471" s="1"/>
      <c r="F471" s="1"/>
      <c r="G471" s="1"/>
      <c r="H471" s="1"/>
      <c r="I471" s="1"/>
      <c r="J471" s="1"/>
      <c r="K471" s="1"/>
      <c r="L471" s="1"/>
      <c r="M471" s="1"/>
    </row>
    <row r="472" spans="5:13" x14ac:dyDescent="0.25">
      <c r="E472" s="1"/>
      <c r="F472" s="1"/>
      <c r="G472" s="1"/>
      <c r="H472" s="1"/>
      <c r="I472" s="1"/>
      <c r="J472" s="1"/>
      <c r="K472" s="1"/>
      <c r="L472" s="1"/>
      <c r="M472" s="1"/>
    </row>
    <row r="473" spans="5:13" x14ac:dyDescent="0.25">
      <c r="E473" s="1"/>
      <c r="F473" s="1"/>
      <c r="G473" s="1"/>
      <c r="H473" s="1"/>
      <c r="I473" s="1"/>
      <c r="J473" s="1"/>
      <c r="K473" s="1"/>
      <c r="L473" s="1"/>
      <c r="M473" s="1"/>
    </row>
    <row r="474" spans="5:13" x14ac:dyDescent="0.25">
      <c r="E474" s="1"/>
      <c r="F474" s="1"/>
      <c r="G474" s="1"/>
      <c r="H474" s="1"/>
      <c r="I474" s="1"/>
      <c r="J474" s="1"/>
      <c r="K474" s="1"/>
      <c r="L474" s="1"/>
      <c r="M474" s="1"/>
    </row>
    <row r="475" spans="5:13" x14ac:dyDescent="0.25">
      <c r="E475" s="1"/>
      <c r="F475" s="1"/>
      <c r="G475" s="1"/>
      <c r="H475" s="1"/>
      <c r="I475" s="1"/>
      <c r="J475" s="1"/>
      <c r="K475" s="1"/>
      <c r="L475" s="1"/>
      <c r="M475" s="1"/>
    </row>
    <row r="476" spans="5:13" x14ac:dyDescent="0.25">
      <c r="E476" s="1"/>
      <c r="F476" s="1"/>
      <c r="G476" s="1"/>
      <c r="H476" s="1"/>
      <c r="I476" s="1"/>
      <c r="J476" s="1"/>
      <c r="K476" s="1"/>
      <c r="L476" s="1"/>
      <c r="M476" s="1"/>
    </row>
    <row r="477" spans="5:13" x14ac:dyDescent="0.25">
      <c r="E477" s="1"/>
      <c r="F477" s="1"/>
      <c r="G477" s="1"/>
      <c r="H477" s="1"/>
      <c r="I477" s="1"/>
      <c r="J477" s="1"/>
      <c r="K477" s="1"/>
      <c r="L477" s="1"/>
      <c r="M477" s="1"/>
    </row>
    <row r="478" spans="5:13" x14ac:dyDescent="0.25">
      <c r="E478" s="1"/>
      <c r="F478" s="1"/>
      <c r="G478" s="1"/>
      <c r="H478" s="1"/>
      <c r="I478" s="1"/>
      <c r="J478" s="1"/>
      <c r="K478" s="1"/>
      <c r="L478" s="1"/>
      <c r="M478" s="1"/>
    </row>
    <row r="479" spans="5:13" x14ac:dyDescent="0.25">
      <c r="E479" s="1"/>
      <c r="F479" s="1"/>
      <c r="G479" s="1"/>
      <c r="H479" s="1"/>
      <c r="I479" s="1"/>
      <c r="J479" s="1"/>
      <c r="K479" s="1"/>
      <c r="L479" s="1"/>
      <c r="M479" s="1"/>
    </row>
    <row r="480" spans="5:13" x14ac:dyDescent="0.25">
      <c r="E480" s="1"/>
      <c r="F480" s="1"/>
      <c r="G480" s="1"/>
      <c r="H480" s="1"/>
      <c r="I480" s="1"/>
      <c r="J480" s="1"/>
      <c r="K480" s="1"/>
      <c r="L480" s="1"/>
      <c r="M480" s="1"/>
    </row>
    <row r="481" spans="5:13" x14ac:dyDescent="0.25">
      <c r="E481" s="1"/>
      <c r="F481" s="1"/>
      <c r="G481" s="1"/>
      <c r="H481" s="1"/>
      <c r="I481" s="1"/>
      <c r="J481" s="1"/>
      <c r="K481" s="1"/>
      <c r="L481" s="1"/>
      <c r="M481" s="1"/>
    </row>
    <row r="482" spans="5:13" x14ac:dyDescent="0.25">
      <c r="E482" s="1"/>
      <c r="F482" s="1"/>
      <c r="G482" s="1"/>
      <c r="H482" s="1"/>
      <c r="I482" s="1"/>
      <c r="J482" s="1"/>
      <c r="K482" s="1"/>
      <c r="L482" s="1"/>
      <c r="M482" s="1"/>
    </row>
    <row r="483" spans="5:13" x14ac:dyDescent="0.25">
      <c r="E483" s="1"/>
      <c r="F483" s="1"/>
      <c r="G483" s="1"/>
      <c r="H483" s="1"/>
      <c r="I483" s="1"/>
      <c r="J483" s="1"/>
      <c r="K483" s="1"/>
      <c r="L483" s="1"/>
      <c r="M483" s="1"/>
    </row>
    <row r="484" spans="5:13" x14ac:dyDescent="0.25">
      <c r="E484" s="1"/>
      <c r="F484" s="1"/>
      <c r="G484" s="1"/>
      <c r="H484" s="1"/>
      <c r="I484" s="1"/>
      <c r="J484" s="1"/>
      <c r="K484" s="1"/>
      <c r="L484" s="1"/>
      <c r="M484" s="1"/>
    </row>
    <row r="485" spans="5:13" x14ac:dyDescent="0.25">
      <c r="E485" s="1"/>
      <c r="F485" s="1"/>
      <c r="G485" s="1"/>
      <c r="H485" s="1"/>
      <c r="I485" s="1"/>
      <c r="J485" s="1"/>
      <c r="K485" s="1"/>
      <c r="L485" s="1"/>
      <c r="M485" s="1"/>
    </row>
    <row r="486" spans="5:13" x14ac:dyDescent="0.25">
      <c r="E486" s="1"/>
      <c r="F486" s="1"/>
      <c r="G486" s="1"/>
      <c r="H486" s="1"/>
      <c r="I486" s="1"/>
      <c r="J486" s="1"/>
      <c r="K486" s="1"/>
      <c r="L486" s="1"/>
      <c r="M486" s="1"/>
    </row>
    <row r="487" spans="5:13" x14ac:dyDescent="0.25">
      <c r="E487" s="1"/>
      <c r="F487" s="1"/>
      <c r="G487" s="1"/>
      <c r="H487" s="1"/>
      <c r="I487" s="1"/>
      <c r="J487" s="1"/>
      <c r="K487" s="1"/>
      <c r="L487" s="1"/>
      <c r="M487" s="1"/>
    </row>
    <row r="488" spans="5:13" x14ac:dyDescent="0.25">
      <c r="E488" s="1"/>
      <c r="F488" s="1"/>
      <c r="G488" s="1"/>
      <c r="H488" s="1"/>
      <c r="I488" s="1"/>
      <c r="J488" s="1"/>
      <c r="K488" s="1"/>
      <c r="L488" s="1"/>
      <c r="M488" s="1"/>
    </row>
    <row r="489" spans="5:13" x14ac:dyDescent="0.25">
      <c r="E489" s="1"/>
      <c r="F489" s="1"/>
      <c r="G489" s="1"/>
      <c r="H489" s="1"/>
      <c r="I489" s="1"/>
      <c r="J489" s="1"/>
      <c r="K489" s="1"/>
      <c r="L489" s="1"/>
      <c r="M489" s="1"/>
    </row>
    <row r="490" spans="5:13" x14ac:dyDescent="0.25">
      <c r="E490" s="1"/>
      <c r="F490" s="1"/>
      <c r="G490" s="1"/>
      <c r="H490" s="1"/>
      <c r="I490" s="1"/>
      <c r="J490" s="1"/>
      <c r="K490" s="1"/>
      <c r="L490" s="1"/>
      <c r="M490" s="1"/>
    </row>
    <row r="491" spans="5:13" x14ac:dyDescent="0.25">
      <c r="E491" s="1"/>
      <c r="F491" s="1"/>
      <c r="G491" s="1"/>
      <c r="H491" s="1"/>
      <c r="I491" s="1"/>
      <c r="J491" s="1"/>
      <c r="K491" s="1"/>
      <c r="L491" s="1"/>
      <c r="M491" s="1"/>
    </row>
    <row r="492" spans="5:13" x14ac:dyDescent="0.25">
      <c r="E492" s="1"/>
      <c r="F492" s="1"/>
      <c r="G492" s="1"/>
      <c r="H492" s="1"/>
      <c r="I492" s="1"/>
      <c r="J492" s="1"/>
      <c r="K492" s="1"/>
      <c r="L492" s="1"/>
      <c r="M492" s="1"/>
    </row>
    <row r="493" spans="5:13" x14ac:dyDescent="0.25">
      <c r="E493" s="1"/>
      <c r="F493" s="1"/>
      <c r="G493" s="1"/>
      <c r="H493" s="1"/>
      <c r="I493" s="1"/>
      <c r="J493" s="1"/>
      <c r="K493" s="1"/>
      <c r="L493" s="1"/>
      <c r="M493" s="1"/>
    </row>
    <row r="494" spans="5:13" x14ac:dyDescent="0.25">
      <c r="E494" s="1"/>
      <c r="F494" s="1"/>
      <c r="G494" s="1"/>
      <c r="H494" s="1"/>
      <c r="I494" s="1"/>
      <c r="J494" s="1"/>
      <c r="K494" s="1"/>
      <c r="L494" s="1"/>
      <c r="M494" s="1"/>
    </row>
    <row r="495" spans="5:13" x14ac:dyDescent="0.25">
      <c r="E495" s="1"/>
      <c r="F495" s="1"/>
      <c r="G495" s="1"/>
      <c r="H495" s="1"/>
      <c r="I495" s="1"/>
      <c r="J495" s="1"/>
      <c r="K495" s="1"/>
      <c r="L495" s="1"/>
      <c r="M495" s="1"/>
    </row>
    <row r="496" spans="5:13" x14ac:dyDescent="0.25">
      <c r="E496" s="1"/>
      <c r="F496" s="1"/>
      <c r="G496" s="1"/>
      <c r="H496" s="1"/>
      <c r="I496" s="1"/>
      <c r="J496" s="1"/>
      <c r="K496" s="1"/>
      <c r="L496" s="1"/>
      <c r="M496" s="1"/>
    </row>
    <row r="497" spans="5:13" x14ac:dyDescent="0.25">
      <c r="E497" s="1"/>
      <c r="F497" s="1"/>
      <c r="G497" s="1"/>
      <c r="H497" s="1"/>
      <c r="I497" s="1"/>
      <c r="J497" s="1"/>
      <c r="K497" s="1"/>
      <c r="L497" s="1"/>
      <c r="M497" s="1"/>
    </row>
    <row r="498" spans="5:13" x14ac:dyDescent="0.25">
      <c r="E498" s="1"/>
      <c r="F498" s="1"/>
      <c r="G498" s="1"/>
      <c r="H498" s="1"/>
      <c r="I498" s="1"/>
      <c r="J498" s="1"/>
      <c r="K498" s="1"/>
      <c r="L498" s="1"/>
      <c r="M498" s="1"/>
    </row>
    <row r="499" spans="5:13" x14ac:dyDescent="0.25">
      <c r="E499" s="1"/>
      <c r="F499" s="1"/>
      <c r="G499" s="1"/>
      <c r="H499" s="1"/>
      <c r="I499" s="1"/>
      <c r="J499" s="1"/>
      <c r="K499" s="1"/>
      <c r="L499" s="1"/>
      <c r="M499" s="1"/>
    </row>
    <row r="500" spans="5:13" x14ac:dyDescent="0.25">
      <c r="E500" s="1"/>
      <c r="F500" s="1"/>
      <c r="G500" s="1"/>
      <c r="H500" s="1"/>
      <c r="I500" s="1"/>
      <c r="J500" s="1"/>
      <c r="K500" s="1"/>
      <c r="L500" s="1"/>
      <c r="M500" s="1"/>
    </row>
    <row r="501" spans="5:13" x14ac:dyDescent="0.25">
      <c r="E501" s="1"/>
      <c r="F501" s="1"/>
      <c r="G501" s="1"/>
      <c r="H501" s="1"/>
      <c r="I501" s="1"/>
      <c r="J501" s="1"/>
      <c r="K501" s="1"/>
      <c r="L501" s="1"/>
      <c r="M501" s="1"/>
    </row>
    <row r="502" spans="5:13" x14ac:dyDescent="0.25">
      <c r="E502" s="1"/>
      <c r="F502" s="1"/>
      <c r="G502" s="1"/>
      <c r="H502" s="1"/>
      <c r="I502" s="1"/>
      <c r="J502" s="1"/>
      <c r="K502" s="1"/>
      <c r="L502" s="1"/>
      <c r="M502" s="1"/>
    </row>
    <row r="503" spans="5:13" x14ac:dyDescent="0.25">
      <c r="E503" s="1"/>
      <c r="F503" s="1"/>
      <c r="G503" s="1"/>
      <c r="H503" s="1"/>
      <c r="I503" s="1"/>
      <c r="J503" s="1"/>
      <c r="K503" s="1"/>
      <c r="L503" s="1"/>
      <c r="M503" s="1"/>
    </row>
    <row r="504" spans="5:13" x14ac:dyDescent="0.25">
      <c r="E504" s="1"/>
      <c r="F504" s="1"/>
      <c r="G504" s="1"/>
      <c r="H504" s="1"/>
      <c r="I504" s="1"/>
      <c r="J504" s="1"/>
      <c r="K504" s="1"/>
      <c r="L504" s="1"/>
      <c r="M504" s="1"/>
    </row>
    <row r="505" spans="5:13" x14ac:dyDescent="0.25">
      <c r="E505" s="1"/>
      <c r="F505" s="1"/>
      <c r="G505" s="1"/>
      <c r="H505" s="1"/>
      <c r="I505" s="1"/>
      <c r="J505" s="1"/>
      <c r="K505" s="1"/>
      <c r="L505" s="1"/>
      <c r="M505" s="1"/>
    </row>
    <row r="506" spans="5:13" x14ac:dyDescent="0.25">
      <c r="E506" s="1"/>
      <c r="F506" s="1"/>
      <c r="G506" s="1"/>
      <c r="H506" s="1"/>
      <c r="I506" s="1"/>
      <c r="J506" s="1"/>
      <c r="K506" s="1"/>
      <c r="L506" s="1"/>
      <c r="M506" s="1"/>
    </row>
    <row r="507" spans="5:13" x14ac:dyDescent="0.25">
      <c r="E507" s="1"/>
      <c r="F507" s="1"/>
      <c r="G507" s="1"/>
      <c r="H507" s="1"/>
      <c r="I507" s="1"/>
      <c r="J507" s="1"/>
      <c r="K507" s="1"/>
      <c r="L507" s="1"/>
      <c r="M507" s="1"/>
    </row>
    <row r="508" spans="5:13" x14ac:dyDescent="0.25">
      <c r="E508" s="1"/>
      <c r="F508" s="1"/>
      <c r="G508" s="1"/>
      <c r="H508" s="1"/>
      <c r="I508" s="1"/>
      <c r="J508" s="1"/>
      <c r="K508" s="1"/>
      <c r="L508" s="1"/>
      <c r="M508" s="1"/>
    </row>
    <row r="509" spans="5:13" x14ac:dyDescent="0.25">
      <c r="E509" s="1"/>
      <c r="F509" s="1"/>
      <c r="G509" s="1"/>
      <c r="H509" s="1"/>
      <c r="I509" s="1"/>
      <c r="J509" s="1"/>
      <c r="K509" s="1"/>
      <c r="L509" s="1"/>
      <c r="M509" s="1"/>
    </row>
    <row r="510" spans="5:13" x14ac:dyDescent="0.25">
      <c r="E510" s="1"/>
      <c r="F510" s="1"/>
      <c r="G510" s="1"/>
      <c r="H510" s="1"/>
      <c r="I510" s="1"/>
      <c r="J510" s="1"/>
      <c r="K510" s="1"/>
      <c r="L510" s="1"/>
      <c r="M510" s="1"/>
    </row>
    <row r="511" spans="5:13" x14ac:dyDescent="0.25">
      <c r="E511" s="1"/>
      <c r="F511" s="1"/>
      <c r="G511" s="1"/>
      <c r="H511" s="1"/>
      <c r="I511" s="1"/>
      <c r="J511" s="1"/>
      <c r="K511" s="1"/>
      <c r="L511" s="1"/>
      <c r="M511" s="1"/>
    </row>
    <row r="512" spans="5:13" x14ac:dyDescent="0.25">
      <c r="E512" s="1"/>
      <c r="F512" s="1"/>
      <c r="G512" s="1"/>
      <c r="H512" s="1"/>
      <c r="I512" s="1"/>
      <c r="J512" s="1"/>
      <c r="K512" s="1"/>
      <c r="L512" s="1"/>
      <c r="M512" s="1"/>
    </row>
    <row r="513" spans="5:13" x14ac:dyDescent="0.25">
      <c r="E513" s="1"/>
      <c r="F513" s="1"/>
      <c r="G513" s="1"/>
      <c r="H513" s="1"/>
      <c r="I513" s="1"/>
      <c r="J513" s="1"/>
      <c r="K513" s="1"/>
      <c r="L513" s="1"/>
      <c r="M513" s="1"/>
    </row>
    <row r="514" spans="5:13" x14ac:dyDescent="0.25">
      <c r="E514" s="1"/>
      <c r="F514" s="1"/>
      <c r="G514" s="1"/>
      <c r="H514" s="1"/>
      <c r="I514" s="1"/>
      <c r="J514" s="1"/>
      <c r="K514" s="1"/>
      <c r="L514" s="1"/>
      <c r="M514" s="1"/>
    </row>
    <row r="515" spans="5:13" x14ac:dyDescent="0.25">
      <c r="E515" s="1"/>
      <c r="F515" s="1"/>
      <c r="G515" s="1"/>
      <c r="H515" s="1"/>
      <c r="I515" s="1"/>
      <c r="J515" s="1"/>
      <c r="K515" s="1"/>
      <c r="L515" s="1"/>
      <c r="M515" s="1"/>
    </row>
    <row r="516" spans="5:13" x14ac:dyDescent="0.25">
      <c r="E516" s="1"/>
      <c r="F516" s="1"/>
      <c r="G516" s="1"/>
      <c r="H516" s="1"/>
      <c r="I516" s="1"/>
      <c r="J516" s="1"/>
      <c r="K516" s="1"/>
      <c r="L516" s="1"/>
      <c r="M516" s="1"/>
    </row>
    <row r="517" spans="5:13" x14ac:dyDescent="0.25">
      <c r="E517" s="1"/>
      <c r="F517" s="1"/>
      <c r="G517" s="1"/>
      <c r="H517" s="1"/>
      <c r="I517" s="1"/>
      <c r="J517" s="1"/>
      <c r="K517" s="1"/>
      <c r="L517" s="1"/>
      <c r="M517" s="1"/>
    </row>
    <row r="518" spans="5:13" x14ac:dyDescent="0.25">
      <c r="E518" s="1"/>
      <c r="F518" s="1"/>
      <c r="G518" s="1"/>
      <c r="H518" s="1"/>
      <c r="I518" s="1"/>
      <c r="J518" s="1"/>
      <c r="K518" s="1"/>
      <c r="L518" s="1"/>
      <c r="M518" s="1"/>
    </row>
    <row r="519" spans="5:13" x14ac:dyDescent="0.25">
      <c r="E519" s="1"/>
      <c r="F519" s="1"/>
      <c r="G519" s="1"/>
      <c r="H519" s="1"/>
      <c r="I519" s="1"/>
      <c r="J519" s="1"/>
      <c r="K519" s="1"/>
      <c r="L519" s="1"/>
      <c r="M519" s="1"/>
    </row>
    <row r="520" spans="5:13" x14ac:dyDescent="0.25">
      <c r="E520" s="1"/>
      <c r="F520" s="1"/>
      <c r="G520" s="1"/>
      <c r="H520" s="1"/>
      <c r="I520" s="1"/>
      <c r="J520" s="1"/>
      <c r="K520" s="1"/>
      <c r="L520" s="1"/>
      <c r="M520" s="1"/>
    </row>
    <row r="521" spans="5:13" x14ac:dyDescent="0.25">
      <c r="E521" s="1"/>
      <c r="F521" s="1"/>
      <c r="G521" s="1"/>
      <c r="H521" s="1"/>
      <c r="I521" s="1"/>
      <c r="J521" s="1"/>
      <c r="K521" s="1"/>
      <c r="L521" s="1"/>
      <c r="M521" s="1"/>
    </row>
    <row r="522" spans="5:13" x14ac:dyDescent="0.25">
      <c r="E522" s="1"/>
      <c r="F522" s="1"/>
      <c r="G522" s="1"/>
      <c r="H522" s="1"/>
      <c r="I522" s="1"/>
      <c r="J522" s="1"/>
      <c r="K522" s="1"/>
      <c r="L522" s="1"/>
      <c r="M522" s="1"/>
    </row>
    <row r="523" spans="5:13" x14ac:dyDescent="0.25">
      <c r="E523" s="1"/>
      <c r="F523" s="1"/>
      <c r="G523" s="1"/>
      <c r="H523" s="1"/>
      <c r="I523" s="1"/>
      <c r="J523" s="1"/>
      <c r="K523" s="1"/>
      <c r="L523" s="1"/>
      <c r="M523" s="1"/>
    </row>
    <row r="524" spans="5:13" x14ac:dyDescent="0.25">
      <c r="E524" s="1"/>
      <c r="F524" s="1"/>
      <c r="G524" s="1"/>
      <c r="H524" s="1"/>
      <c r="I524" s="1"/>
      <c r="J524" s="1"/>
      <c r="K524" s="1"/>
      <c r="L524" s="1"/>
      <c r="M524" s="1"/>
    </row>
    <row r="525" spans="5:13" x14ac:dyDescent="0.25">
      <c r="E525" s="1"/>
      <c r="F525" s="1"/>
      <c r="G525" s="1"/>
      <c r="H525" s="1"/>
      <c r="I525" s="1"/>
      <c r="J525" s="1"/>
      <c r="K525" s="1"/>
      <c r="L525" s="1"/>
      <c r="M525" s="1"/>
    </row>
    <row r="526" spans="5:13" x14ac:dyDescent="0.25">
      <c r="E526" s="1"/>
      <c r="F526" s="1"/>
      <c r="G526" s="1"/>
      <c r="H526" s="1"/>
      <c r="I526" s="1"/>
      <c r="J526" s="1"/>
      <c r="K526" s="1"/>
      <c r="L526" s="1"/>
      <c r="M526" s="1"/>
    </row>
    <row r="527" spans="5:13" x14ac:dyDescent="0.25">
      <c r="E527" s="1"/>
      <c r="F527" s="1"/>
      <c r="G527" s="1"/>
      <c r="H527" s="1"/>
      <c r="I527" s="1"/>
      <c r="J527" s="1"/>
      <c r="K527" s="1"/>
      <c r="L527" s="1"/>
      <c r="M527" s="1"/>
    </row>
    <row r="528" spans="5:13" x14ac:dyDescent="0.25">
      <c r="E528" s="1"/>
      <c r="F528" s="1"/>
      <c r="G528" s="1"/>
      <c r="H528" s="1"/>
      <c r="I528" s="1"/>
      <c r="J528" s="1"/>
      <c r="K528" s="1"/>
      <c r="L528" s="1"/>
      <c r="M528" s="1"/>
    </row>
    <row r="529" spans="5:13" x14ac:dyDescent="0.25">
      <c r="E529" s="1"/>
      <c r="F529" s="1"/>
      <c r="G529" s="1"/>
      <c r="H529" s="1"/>
      <c r="I529" s="1"/>
      <c r="J529" s="1"/>
      <c r="K529" s="1"/>
      <c r="L529" s="1"/>
      <c r="M529" s="1"/>
    </row>
    <row r="530" spans="5:13" x14ac:dyDescent="0.25">
      <c r="E530" s="1"/>
      <c r="F530" s="1"/>
      <c r="G530" s="1"/>
      <c r="H530" s="1"/>
      <c r="I530" s="1"/>
      <c r="J530" s="1"/>
      <c r="K530" s="1"/>
      <c r="L530" s="1"/>
      <c r="M530" s="1"/>
    </row>
    <row r="531" spans="5:13" x14ac:dyDescent="0.25">
      <c r="E531" s="1"/>
      <c r="F531" s="1"/>
      <c r="G531" s="1"/>
      <c r="H531" s="1"/>
      <c r="I531" s="1"/>
      <c r="J531" s="1"/>
      <c r="K531" s="1"/>
      <c r="L531" s="1"/>
      <c r="M531" s="1"/>
    </row>
    <row r="532" spans="5:13" x14ac:dyDescent="0.25">
      <c r="E532" s="1"/>
      <c r="F532" s="1"/>
      <c r="G532" s="1"/>
      <c r="H532" s="1"/>
      <c r="I532" s="1"/>
      <c r="J532" s="1"/>
      <c r="K532" s="1"/>
      <c r="L532" s="1"/>
      <c r="M532" s="1"/>
    </row>
    <row r="533" spans="5:13" x14ac:dyDescent="0.25">
      <c r="E533" s="1"/>
      <c r="F533" s="1"/>
      <c r="G533" s="1"/>
      <c r="H533" s="1"/>
      <c r="I533" s="1"/>
      <c r="J533" s="1"/>
      <c r="K533" s="1"/>
      <c r="L533" s="1"/>
      <c r="M533" s="1"/>
    </row>
    <row r="534" spans="5:13" x14ac:dyDescent="0.25">
      <c r="E534" s="1"/>
      <c r="F534" s="1"/>
      <c r="G534" s="1"/>
      <c r="H534" s="1"/>
      <c r="I534" s="1"/>
      <c r="J534" s="1"/>
      <c r="K534" s="1"/>
      <c r="L534" s="1"/>
      <c r="M534" s="1"/>
    </row>
    <row r="535" spans="5:13" x14ac:dyDescent="0.25">
      <c r="E535" s="1"/>
      <c r="F535" s="1"/>
      <c r="G535" s="1"/>
      <c r="H535" s="1"/>
      <c r="I535" s="1"/>
      <c r="J535" s="1"/>
      <c r="K535" s="1"/>
      <c r="L535" s="1"/>
      <c r="M535" s="1"/>
    </row>
    <row r="536" spans="5:13" x14ac:dyDescent="0.25">
      <c r="E536" s="1"/>
      <c r="F536" s="1"/>
      <c r="G536" s="1"/>
      <c r="H536" s="1"/>
      <c r="I536" s="1"/>
      <c r="J536" s="1"/>
      <c r="K536" s="1"/>
      <c r="L536" s="1"/>
      <c r="M536" s="1"/>
    </row>
    <row r="537" spans="5:13" x14ac:dyDescent="0.25">
      <c r="E537" s="1"/>
      <c r="F537" s="1"/>
      <c r="G537" s="1"/>
      <c r="H537" s="1"/>
      <c r="I537" s="1"/>
      <c r="J537" s="1"/>
      <c r="K537" s="1"/>
      <c r="L537" s="1"/>
      <c r="M537" s="1"/>
    </row>
    <row r="538" spans="5:13" x14ac:dyDescent="0.25">
      <c r="E538" s="1"/>
      <c r="F538" s="1"/>
      <c r="G538" s="1"/>
      <c r="H538" s="1"/>
      <c r="I538" s="1"/>
      <c r="J538" s="1"/>
      <c r="K538" s="1"/>
      <c r="L538" s="1"/>
      <c r="M538" s="1"/>
    </row>
    <row r="539" spans="5:13" x14ac:dyDescent="0.25">
      <c r="E539" s="1"/>
      <c r="F539" s="1"/>
      <c r="G539" s="1"/>
      <c r="H539" s="1"/>
      <c r="I539" s="1"/>
      <c r="J539" s="1"/>
      <c r="K539" s="1"/>
      <c r="L539" s="1"/>
      <c r="M539" s="1"/>
    </row>
    <row r="540" spans="5:13" x14ac:dyDescent="0.25">
      <c r="E540" s="1"/>
      <c r="F540" s="1"/>
      <c r="G540" s="1"/>
      <c r="H540" s="1"/>
      <c r="I540" s="1"/>
      <c r="J540" s="1"/>
      <c r="K540" s="1"/>
      <c r="L540" s="1"/>
      <c r="M540" s="1"/>
    </row>
    <row r="541" spans="5:13" x14ac:dyDescent="0.25">
      <c r="E541" s="1"/>
      <c r="F541" s="1"/>
      <c r="G541" s="1"/>
      <c r="H541" s="1"/>
      <c r="I541" s="1"/>
      <c r="J541" s="1"/>
      <c r="K541" s="1"/>
      <c r="L541" s="1"/>
      <c r="M541" s="1"/>
    </row>
    <row r="542" spans="5:13" x14ac:dyDescent="0.25">
      <c r="E542" s="1"/>
      <c r="F542" s="1"/>
      <c r="G542" s="1"/>
      <c r="H542" s="1"/>
      <c r="I542" s="1"/>
      <c r="J542" s="1"/>
      <c r="K542" s="1"/>
      <c r="L542" s="1"/>
      <c r="M542" s="1"/>
    </row>
    <row r="543" spans="5:13" x14ac:dyDescent="0.25">
      <c r="E543" s="1"/>
      <c r="F543" s="1"/>
      <c r="G543" s="1"/>
      <c r="H543" s="1"/>
      <c r="I543" s="1"/>
      <c r="J543" s="1"/>
      <c r="K543" s="1"/>
      <c r="L543" s="1"/>
      <c r="M543" s="1"/>
    </row>
    <row r="544" spans="5:13" x14ac:dyDescent="0.25">
      <c r="E544" s="1"/>
      <c r="F544" s="1"/>
      <c r="G544" s="1"/>
      <c r="H544" s="1"/>
      <c r="I544" s="1"/>
      <c r="J544" s="1"/>
      <c r="K544" s="1"/>
      <c r="L544" s="1"/>
      <c r="M544" s="1"/>
    </row>
    <row r="545" spans="5:13" x14ac:dyDescent="0.25">
      <c r="E545" s="1"/>
      <c r="F545" s="1"/>
      <c r="G545" s="1"/>
      <c r="H545" s="1"/>
      <c r="I545" s="1"/>
      <c r="J545" s="1"/>
      <c r="K545" s="1"/>
      <c r="L545" s="1"/>
      <c r="M545" s="1"/>
    </row>
    <row r="546" spans="5:13" x14ac:dyDescent="0.25">
      <c r="E546" s="1"/>
      <c r="F546" s="1"/>
      <c r="G546" s="1"/>
      <c r="H546" s="1"/>
      <c r="I546" s="1"/>
      <c r="J546" s="1"/>
      <c r="K546" s="1"/>
      <c r="L546" s="1"/>
      <c r="M546" s="1"/>
    </row>
    <row r="547" spans="5:13" x14ac:dyDescent="0.25">
      <c r="E547" s="1"/>
      <c r="F547" s="1"/>
      <c r="G547" s="1"/>
      <c r="H547" s="1"/>
      <c r="I547" s="1"/>
      <c r="J547" s="1"/>
      <c r="K547" s="1"/>
      <c r="L547" s="1"/>
      <c r="M547" s="1"/>
    </row>
    <row r="548" spans="5:13" x14ac:dyDescent="0.25">
      <c r="E548" s="1"/>
      <c r="F548" s="1"/>
      <c r="G548" s="1"/>
      <c r="H548" s="1"/>
      <c r="I548" s="1"/>
      <c r="J548" s="1"/>
      <c r="K548" s="1"/>
      <c r="L548" s="1"/>
      <c r="M548" s="1"/>
    </row>
    <row r="549" spans="5:13" x14ac:dyDescent="0.25">
      <c r="E549" s="1"/>
      <c r="F549" s="1"/>
      <c r="G549" s="1"/>
      <c r="H549" s="1"/>
      <c r="I549" s="1"/>
      <c r="J549" s="1"/>
      <c r="K549" s="1"/>
      <c r="L549" s="1"/>
      <c r="M549" s="1"/>
    </row>
    <row r="550" spans="5:13" x14ac:dyDescent="0.25">
      <c r="E550" s="1"/>
      <c r="F550" s="1"/>
      <c r="G550" s="1"/>
      <c r="H550" s="1"/>
      <c r="I550" s="1"/>
      <c r="J550" s="1"/>
      <c r="K550" s="1"/>
      <c r="L550" s="1"/>
      <c r="M550" s="1"/>
    </row>
    <row r="551" spans="5:13" x14ac:dyDescent="0.25">
      <c r="E551" s="1"/>
      <c r="F551" s="1"/>
      <c r="G551" s="1"/>
      <c r="H551" s="1"/>
      <c r="I551" s="1"/>
      <c r="J551" s="1"/>
      <c r="K551" s="1"/>
      <c r="L551" s="1"/>
      <c r="M551" s="1"/>
    </row>
    <row r="552" spans="5:13" x14ac:dyDescent="0.25">
      <c r="E552" s="1"/>
      <c r="F552" s="1"/>
      <c r="G552" s="1"/>
      <c r="H552" s="1"/>
      <c r="I552" s="1"/>
      <c r="J552" s="1"/>
      <c r="K552" s="1"/>
      <c r="L552" s="1"/>
      <c r="M552" s="1"/>
    </row>
    <row r="553" spans="5:13" x14ac:dyDescent="0.25">
      <c r="E553" s="1"/>
      <c r="F553" s="1"/>
      <c r="G553" s="1"/>
      <c r="H553" s="1"/>
      <c r="I553" s="1"/>
      <c r="J553" s="1"/>
      <c r="K553" s="1"/>
      <c r="L553" s="1"/>
      <c r="M553" s="1"/>
    </row>
    <row r="554" spans="5:13" x14ac:dyDescent="0.25">
      <c r="E554" s="1"/>
      <c r="F554" s="1"/>
      <c r="G554" s="1"/>
      <c r="H554" s="1"/>
      <c r="I554" s="1"/>
      <c r="J554" s="1"/>
      <c r="K554" s="1"/>
      <c r="L554" s="1"/>
      <c r="M554" s="1"/>
    </row>
    <row r="555" spans="5:13" x14ac:dyDescent="0.25">
      <c r="E555" s="1"/>
      <c r="F555" s="1"/>
      <c r="G555" s="1"/>
      <c r="H555" s="1"/>
      <c r="I555" s="1"/>
      <c r="J555" s="1"/>
      <c r="K555" s="1"/>
      <c r="L555" s="1"/>
      <c r="M555" s="1"/>
    </row>
    <row r="556" spans="5:13" x14ac:dyDescent="0.25">
      <c r="E556" s="1"/>
      <c r="F556" s="1"/>
      <c r="G556" s="1"/>
      <c r="H556" s="1"/>
      <c r="I556" s="1"/>
      <c r="J556" s="1"/>
      <c r="K556" s="1"/>
      <c r="L556" s="1"/>
      <c r="M556" s="1"/>
    </row>
    <row r="557" spans="5:13" x14ac:dyDescent="0.25">
      <c r="E557" s="1"/>
      <c r="F557" s="1"/>
      <c r="G557" s="1"/>
      <c r="H557" s="1"/>
      <c r="I557" s="1"/>
      <c r="J557" s="1"/>
      <c r="K557" s="1"/>
      <c r="L557" s="1"/>
      <c r="M557" s="1"/>
    </row>
    <row r="558" spans="5:13" x14ac:dyDescent="0.25">
      <c r="E558" s="1"/>
      <c r="F558" s="1"/>
      <c r="G558" s="1"/>
      <c r="H558" s="1"/>
      <c r="I558" s="1"/>
      <c r="J558" s="1"/>
      <c r="K558" s="1"/>
      <c r="L558" s="1"/>
      <c r="M558" s="1"/>
    </row>
    <row r="559" spans="5:13" x14ac:dyDescent="0.25">
      <c r="E559" s="1"/>
      <c r="F559" s="1"/>
      <c r="G559" s="1"/>
      <c r="H559" s="1"/>
      <c r="I559" s="1"/>
      <c r="J559" s="1"/>
      <c r="K559" s="1"/>
      <c r="L559" s="1"/>
      <c r="M559" s="1"/>
    </row>
    <row r="560" spans="5:13" x14ac:dyDescent="0.25">
      <c r="E560" s="1"/>
      <c r="F560" s="1"/>
      <c r="G560" s="1"/>
      <c r="H560" s="1"/>
      <c r="I560" s="1"/>
      <c r="J560" s="1"/>
      <c r="K560" s="1"/>
      <c r="L560" s="1"/>
      <c r="M560" s="1"/>
    </row>
    <row r="561" spans="5:13" x14ac:dyDescent="0.25">
      <c r="E561" s="1"/>
      <c r="F561" s="1"/>
      <c r="G561" s="1"/>
      <c r="H561" s="1"/>
      <c r="I561" s="1"/>
      <c r="J561" s="1"/>
      <c r="K561" s="1"/>
      <c r="L561" s="1"/>
      <c r="M561" s="1"/>
    </row>
    <row r="562" spans="5:13" x14ac:dyDescent="0.25">
      <c r="E562" s="1"/>
      <c r="F562" s="1"/>
      <c r="G562" s="1"/>
      <c r="H562" s="1"/>
      <c r="I562" s="1"/>
      <c r="J562" s="1"/>
      <c r="K562" s="1"/>
      <c r="L562" s="1"/>
      <c r="M562" s="1"/>
    </row>
    <row r="563" spans="5:13" x14ac:dyDescent="0.25">
      <c r="E563" s="1"/>
      <c r="F563" s="1"/>
      <c r="G563" s="1"/>
      <c r="H563" s="1"/>
      <c r="I563" s="1"/>
      <c r="J563" s="1"/>
      <c r="K563" s="1"/>
      <c r="L563" s="1"/>
      <c r="M563" s="1"/>
    </row>
    <row r="564" spans="5:13" x14ac:dyDescent="0.25">
      <c r="E564" s="1"/>
      <c r="F564" s="1"/>
      <c r="G564" s="1"/>
      <c r="H564" s="1"/>
      <c r="I564" s="1"/>
      <c r="J564" s="1"/>
      <c r="K564" s="1"/>
      <c r="L564" s="1"/>
      <c r="M564" s="1"/>
    </row>
    <row r="565" spans="5:13" x14ac:dyDescent="0.25">
      <c r="E565" s="1"/>
      <c r="F565" s="1"/>
      <c r="G565" s="1"/>
      <c r="H565" s="1"/>
      <c r="I565" s="1"/>
      <c r="J565" s="1"/>
      <c r="K565" s="1"/>
      <c r="L565" s="1"/>
      <c r="M565" s="1"/>
    </row>
    <row r="566" spans="5:13" x14ac:dyDescent="0.25">
      <c r="E566" s="1"/>
      <c r="F566" s="1"/>
      <c r="G566" s="1"/>
      <c r="H566" s="1"/>
      <c r="I566" s="1"/>
      <c r="J566" s="1"/>
      <c r="K566" s="1"/>
      <c r="L566" s="1"/>
      <c r="M566" s="1"/>
    </row>
    <row r="567" spans="5:13" x14ac:dyDescent="0.25">
      <c r="E567" s="1"/>
      <c r="F567" s="1"/>
      <c r="G567" s="1"/>
      <c r="H567" s="1"/>
      <c r="I567" s="1"/>
      <c r="J567" s="1"/>
      <c r="K567" s="1"/>
      <c r="L567" s="1"/>
      <c r="M567" s="1"/>
    </row>
    <row r="568" spans="5:13" x14ac:dyDescent="0.25">
      <c r="E568" s="1"/>
      <c r="F568" s="1"/>
      <c r="G568" s="1"/>
      <c r="H568" s="1"/>
      <c r="I568" s="1"/>
      <c r="J568" s="1"/>
      <c r="K568" s="1"/>
      <c r="L568" s="1"/>
      <c r="M568" s="1"/>
    </row>
    <row r="569" spans="5:13" x14ac:dyDescent="0.25">
      <c r="E569" s="1"/>
      <c r="F569" s="1"/>
      <c r="G569" s="1"/>
      <c r="H569" s="1"/>
      <c r="I569" s="1"/>
      <c r="J569" s="1"/>
      <c r="K569" s="1"/>
      <c r="L569" s="1"/>
      <c r="M569" s="1"/>
    </row>
    <row r="570" spans="5:13" x14ac:dyDescent="0.25">
      <c r="E570" s="1"/>
      <c r="F570" s="1"/>
      <c r="G570" s="1"/>
      <c r="H570" s="1"/>
      <c r="I570" s="1"/>
      <c r="J570" s="1"/>
      <c r="K570" s="1"/>
      <c r="L570" s="1"/>
      <c r="M570" s="1"/>
    </row>
    <row r="571" spans="5:13" x14ac:dyDescent="0.25">
      <c r="E571" s="1"/>
      <c r="F571" s="1"/>
      <c r="G571" s="1"/>
      <c r="H571" s="1"/>
      <c r="I571" s="1"/>
      <c r="J571" s="1"/>
      <c r="K571" s="1"/>
      <c r="L571" s="1"/>
      <c r="M571" s="1"/>
    </row>
    <row r="572" spans="5:13" x14ac:dyDescent="0.25">
      <c r="E572" s="1"/>
      <c r="F572" s="1"/>
      <c r="G572" s="1"/>
      <c r="H572" s="1"/>
      <c r="I572" s="1"/>
      <c r="J572" s="1"/>
      <c r="K572" s="1"/>
      <c r="L572" s="1"/>
      <c r="M572" s="1"/>
    </row>
    <row r="573" spans="5:13" x14ac:dyDescent="0.25">
      <c r="E573" s="1"/>
      <c r="F573" s="1"/>
      <c r="G573" s="1"/>
      <c r="H573" s="1"/>
      <c r="I573" s="1"/>
      <c r="J573" s="1"/>
      <c r="K573" s="1"/>
      <c r="L573" s="1"/>
      <c r="M573" s="1"/>
    </row>
    <row r="574" spans="5:13" x14ac:dyDescent="0.25">
      <c r="E574" s="1"/>
      <c r="F574" s="1"/>
      <c r="G574" s="1"/>
      <c r="H574" s="1"/>
      <c r="I574" s="1"/>
      <c r="J574" s="1"/>
      <c r="K574" s="1"/>
      <c r="L574" s="1"/>
      <c r="M574" s="1"/>
    </row>
    <row r="575" spans="5:13" x14ac:dyDescent="0.25">
      <c r="E575" s="1"/>
      <c r="F575" s="1"/>
      <c r="G575" s="1"/>
      <c r="H575" s="1"/>
      <c r="I575" s="1"/>
      <c r="J575" s="1"/>
      <c r="K575" s="1"/>
      <c r="L575" s="1"/>
      <c r="M575" s="1"/>
    </row>
    <row r="576" spans="5:13" x14ac:dyDescent="0.25">
      <c r="E576" s="1"/>
      <c r="F576" s="1"/>
      <c r="G576" s="1"/>
      <c r="H576" s="1"/>
      <c r="I576" s="1"/>
      <c r="J576" s="1"/>
      <c r="K576" s="1"/>
      <c r="L576" s="1"/>
      <c r="M576" s="1"/>
    </row>
    <row r="577" spans="5:13" x14ac:dyDescent="0.25">
      <c r="E577" s="1"/>
      <c r="F577" s="1"/>
      <c r="G577" s="1"/>
      <c r="H577" s="1"/>
      <c r="I577" s="1"/>
      <c r="J577" s="1"/>
      <c r="K577" s="1"/>
      <c r="L577" s="1"/>
      <c r="M577" s="1"/>
    </row>
    <row r="578" spans="5:13" x14ac:dyDescent="0.25">
      <c r="E578" s="1"/>
      <c r="F578" s="1"/>
      <c r="G578" s="1"/>
      <c r="H578" s="1"/>
      <c r="I578" s="1"/>
      <c r="J578" s="1"/>
      <c r="K578" s="1"/>
      <c r="L578" s="1"/>
      <c r="M578" s="1"/>
    </row>
    <row r="579" spans="5:13" x14ac:dyDescent="0.25">
      <c r="E579" s="1"/>
      <c r="F579" s="1"/>
      <c r="G579" s="1"/>
      <c r="H579" s="1"/>
      <c r="I579" s="1"/>
      <c r="J579" s="1"/>
      <c r="K579" s="1"/>
      <c r="L579" s="1"/>
      <c r="M579" s="1"/>
    </row>
    <row r="580" spans="5:13" x14ac:dyDescent="0.25">
      <c r="E580" s="1"/>
      <c r="F580" s="1"/>
      <c r="G580" s="1"/>
      <c r="H580" s="1"/>
      <c r="I580" s="1"/>
      <c r="J580" s="1"/>
      <c r="K580" s="1"/>
      <c r="L580" s="1"/>
      <c r="M580" s="1"/>
    </row>
    <row r="581" spans="5:13" x14ac:dyDescent="0.25">
      <c r="E581" s="1"/>
      <c r="F581" s="1"/>
      <c r="G581" s="1"/>
      <c r="H581" s="1"/>
      <c r="I581" s="1"/>
      <c r="J581" s="1"/>
      <c r="K581" s="1"/>
      <c r="L581" s="1"/>
      <c r="M581" s="1"/>
    </row>
    <row r="582" spans="5:13" x14ac:dyDescent="0.25">
      <c r="E582" s="1"/>
      <c r="F582" s="1"/>
      <c r="G582" s="1"/>
      <c r="H582" s="1"/>
      <c r="I582" s="1"/>
      <c r="J582" s="1"/>
      <c r="K582" s="1"/>
      <c r="L582" s="1"/>
      <c r="M582" s="1"/>
    </row>
    <row r="583" spans="5:13" x14ac:dyDescent="0.25">
      <c r="E583" s="1"/>
      <c r="F583" s="1"/>
      <c r="G583" s="1"/>
      <c r="H583" s="1"/>
      <c r="I583" s="1"/>
      <c r="J583" s="1"/>
      <c r="K583" s="1"/>
      <c r="L583" s="1"/>
      <c r="M583" s="1"/>
    </row>
  </sheetData>
  <mergeCells count="15">
    <mergeCell ref="A2:D2"/>
    <mergeCell ref="E2:I2"/>
    <mergeCell ref="K2:L2"/>
    <mergeCell ref="I26:I28"/>
    <mergeCell ref="I30:I31"/>
    <mergeCell ref="E26:E28"/>
    <mergeCell ref="F26:F28"/>
    <mergeCell ref="G26:G28"/>
    <mergeCell ref="H26:H28"/>
    <mergeCell ref="B26:B28"/>
    <mergeCell ref="B30:B31"/>
    <mergeCell ref="E30:E31"/>
    <mergeCell ref="F30:F31"/>
    <mergeCell ref="G30:G31"/>
    <mergeCell ref="H30:H31"/>
  </mergeCells>
  <pageMargins left="0.7" right="0.7" top="0.75" bottom="0.75" header="0.3" footer="0.3"/>
  <pageSetup paperSize="8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7" workbookViewId="0">
      <selection activeCell="C10" sqref="C10:D10"/>
    </sheetView>
  </sheetViews>
  <sheetFormatPr defaultRowHeight="15" x14ac:dyDescent="0.25"/>
  <cols>
    <col min="2" max="2" width="44.28515625" customWidth="1"/>
    <col min="3" max="3" width="11.42578125" style="28" customWidth="1"/>
    <col min="4" max="4" width="13.28515625" customWidth="1"/>
    <col min="5" max="5" width="16.7109375" customWidth="1"/>
    <col min="6" max="6" width="13.140625" customWidth="1"/>
    <col min="7" max="7" width="18.85546875" customWidth="1"/>
  </cols>
  <sheetData>
    <row r="1" spans="1:6" ht="15.75" x14ac:dyDescent="0.25">
      <c r="A1" s="34" t="s">
        <v>124</v>
      </c>
      <c r="B1" s="34"/>
    </row>
    <row r="2" spans="1:6" ht="15.75" x14ac:dyDescent="0.25">
      <c r="A2" s="34"/>
      <c r="B2" s="34"/>
    </row>
    <row r="3" spans="1:6" ht="15.75" x14ac:dyDescent="0.25">
      <c r="A3" s="34" t="s">
        <v>125</v>
      </c>
      <c r="B3" s="34"/>
    </row>
    <row r="4" spans="1:6" ht="15.75" x14ac:dyDescent="0.25">
      <c r="A4" s="34" t="s">
        <v>126</v>
      </c>
      <c r="B4" s="34"/>
    </row>
    <row r="5" spans="1:6" ht="15.75" x14ac:dyDescent="0.25">
      <c r="A5" s="34" t="s">
        <v>127</v>
      </c>
      <c r="B5" s="34"/>
    </row>
    <row r="6" spans="1:6" ht="15.75" x14ac:dyDescent="0.25">
      <c r="A6" s="34"/>
      <c r="B6" s="34"/>
    </row>
    <row r="7" spans="1:6" ht="15.75" x14ac:dyDescent="0.25">
      <c r="A7" s="34" t="s">
        <v>128</v>
      </c>
      <c r="B7" s="34"/>
    </row>
    <row r="8" spans="1:6" ht="31.5" x14ac:dyDescent="0.25">
      <c r="A8" s="32" t="s">
        <v>100</v>
      </c>
      <c r="B8" s="33" t="s">
        <v>101</v>
      </c>
      <c r="C8" s="32" t="s">
        <v>102</v>
      </c>
      <c r="D8" s="32" t="s">
        <v>103</v>
      </c>
      <c r="E8" s="33" t="s">
        <v>104</v>
      </c>
      <c r="F8" s="33" t="s">
        <v>105</v>
      </c>
    </row>
    <row r="9" spans="1:6" x14ac:dyDescent="0.25">
      <c r="A9" s="38"/>
      <c r="B9" s="37" t="s">
        <v>106</v>
      </c>
      <c r="C9" s="38">
        <v>200</v>
      </c>
      <c r="D9" s="38">
        <v>200</v>
      </c>
      <c r="E9" s="38">
        <v>200</v>
      </c>
      <c r="F9" s="38">
        <v>200</v>
      </c>
    </row>
    <row r="10" spans="1:6" ht="30" x14ac:dyDescent="0.25">
      <c r="A10" s="38">
        <v>1</v>
      </c>
      <c r="B10" s="37" t="s">
        <v>107</v>
      </c>
      <c r="C10" s="38">
        <v>3000</v>
      </c>
      <c r="D10" s="38">
        <v>3200</v>
      </c>
      <c r="E10" s="38">
        <v>2200</v>
      </c>
      <c r="F10" s="38">
        <v>2200</v>
      </c>
    </row>
    <row r="11" spans="1:6" ht="30" x14ac:dyDescent="0.25">
      <c r="A11" s="38">
        <v>2</v>
      </c>
      <c r="B11" s="37" t="s">
        <v>108</v>
      </c>
      <c r="C11" s="38">
        <v>1000</v>
      </c>
      <c r="D11" s="38">
        <v>1000</v>
      </c>
      <c r="E11" s="38">
        <v>1000</v>
      </c>
      <c r="F11" s="38">
        <v>1000</v>
      </c>
    </row>
    <row r="12" spans="1:6" ht="30" x14ac:dyDescent="0.25">
      <c r="A12" s="38">
        <v>3</v>
      </c>
      <c r="B12" s="37" t="s">
        <v>109</v>
      </c>
      <c r="C12" s="38">
        <v>350</v>
      </c>
      <c r="D12" s="38">
        <v>350</v>
      </c>
      <c r="E12" s="38">
        <v>500</v>
      </c>
      <c r="F12" s="38">
        <v>500</v>
      </c>
    </row>
    <row r="13" spans="1:6" ht="30" x14ac:dyDescent="0.25">
      <c r="A13" s="38">
        <v>4</v>
      </c>
      <c r="B13" s="37" t="s">
        <v>110</v>
      </c>
      <c r="C13" s="38">
        <v>250</v>
      </c>
      <c r="D13" s="38">
        <v>250</v>
      </c>
      <c r="E13" s="38">
        <v>200</v>
      </c>
      <c r="F13" s="38">
        <v>200</v>
      </c>
    </row>
    <row r="14" spans="1:6" x14ac:dyDescent="0.25">
      <c r="A14" s="38">
        <v>5</v>
      </c>
      <c r="B14" s="37" t="s">
        <v>111</v>
      </c>
      <c r="C14" s="38">
        <v>100</v>
      </c>
      <c r="D14" s="38">
        <v>100</v>
      </c>
      <c r="E14" s="38">
        <v>100</v>
      </c>
      <c r="F14" s="38">
        <v>100</v>
      </c>
    </row>
    <row r="15" spans="1:6" ht="30" x14ac:dyDescent="0.25">
      <c r="A15" s="38">
        <v>6</v>
      </c>
      <c r="B15" s="37" t="s">
        <v>112</v>
      </c>
      <c r="C15" s="38">
        <v>1200</v>
      </c>
      <c r="D15" s="38">
        <v>1500</v>
      </c>
      <c r="E15" s="38">
        <v>1000</v>
      </c>
      <c r="F15" s="38">
        <v>1000</v>
      </c>
    </row>
    <row r="16" spans="1:6" x14ac:dyDescent="0.25">
      <c r="A16" s="38">
        <v>7</v>
      </c>
      <c r="B16" s="37" t="s">
        <v>113</v>
      </c>
      <c r="C16" s="38">
        <v>600</v>
      </c>
      <c r="D16" s="38">
        <v>600</v>
      </c>
      <c r="E16" s="38">
        <v>300</v>
      </c>
      <c r="F16" s="38">
        <v>300</v>
      </c>
    </row>
    <row r="17" spans="1:6" x14ac:dyDescent="0.25">
      <c r="A17" s="38">
        <v>8</v>
      </c>
      <c r="B17" s="37" t="s">
        <v>26</v>
      </c>
      <c r="C17" s="38">
        <v>600</v>
      </c>
      <c r="D17" s="38">
        <v>800</v>
      </c>
      <c r="E17" s="38">
        <v>500</v>
      </c>
      <c r="F17" s="38">
        <v>500</v>
      </c>
    </row>
    <row r="18" spans="1:6" ht="22.5" customHeight="1" x14ac:dyDescent="0.25">
      <c r="A18" s="39"/>
      <c r="B18" s="40"/>
      <c r="C18" s="32">
        <f>SUM(C9:C17)</f>
        <v>7300</v>
      </c>
      <c r="D18" s="32">
        <f t="shared" ref="D18:F18" si="0">SUM(D9:D17)</f>
        <v>8000</v>
      </c>
      <c r="E18" s="32">
        <f t="shared" si="0"/>
        <v>6000</v>
      </c>
      <c r="F18" s="32">
        <f t="shared" si="0"/>
        <v>6000</v>
      </c>
    </row>
    <row r="20" spans="1:6" ht="15.75" x14ac:dyDescent="0.25">
      <c r="B20" s="30" t="s">
        <v>114</v>
      </c>
      <c r="C20" s="31" t="s">
        <v>115</v>
      </c>
    </row>
    <row r="21" spans="1:6" x14ac:dyDescent="0.25">
      <c r="A21" s="41"/>
      <c r="B21" s="36" t="s">
        <v>102</v>
      </c>
      <c r="C21" s="35" t="s">
        <v>116</v>
      </c>
    </row>
    <row r="22" spans="1:6" x14ac:dyDescent="0.25">
      <c r="A22" s="41"/>
      <c r="B22" s="36" t="s">
        <v>103</v>
      </c>
      <c r="C22" s="35" t="s">
        <v>117</v>
      </c>
    </row>
    <row r="23" spans="1:6" x14ac:dyDescent="0.25">
      <c r="A23" s="41"/>
      <c r="B23" s="36" t="s">
        <v>104</v>
      </c>
      <c r="C23" s="35" t="s">
        <v>118</v>
      </c>
    </row>
    <row r="24" spans="1:6" x14ac:dyDescent="0.25">
      <c r="A24" s="41"/>
      <c r="B24" s="36" t="s">
        <v>105</v>
      </c>
      <c r="C24" s="35" t="s">
        <v>118</v>
      </c>
    </row>
    <row r="25" spans="1:6" x14ac:dyDescent="0.25">
      <c r="A25" s="41"/>
      <c r="B25" s="41"/>
    </row>
    <row r="26" spans="1:6" x14ac:dyDescent="0.25">
      <c r="A26" s="36" t="s">
        <v>100</v>
      </c>
      <c r="B26" s="35" t="s">
        <v>101</v>
      </c>
      <c r="C26" s="35" t="s">
        <v>119</v>
      </c>
    </row>
    <row r="27" spans="1:6" x14ac:dyDescent="0.25">
      <c r="A27" s="36">
        <v>1</v>
      </c>
      <c r="B27" s="35" t="s">
        <v>120</v>
      </c>
      <c r="C27" s="35">
        <v>100</v>
      </c>
    </row>
    <row r="28" spans="1:6" x14ac:dyDescent="0.25">
      <c r="A28" s="36">
        <v>2</v>
      </c>
      <c r="B28" s="35" t="s">
        <v>121</v>
      </c>
      <c r="C28" s="35">
        <v>500</v>
      </c>
    </row>
    <row r="29" spans="1:6" x14ac:dyDescent="0.25">
      <c r="A29" s="36">
        <v>3</v>
      </c>
      <c r="B29" s="35" t="s">
        <v>122</v>
      </c>
      <c r="C29" s="35">
        <v>400</v>
      </c>
    </row>
    <row r="30" spans="1:6" x14ac:dyDescent="0.25">
      <c r="A30" s="36">
        <v>4</v>
      </c>
      <c r="B30" s="35" t="s">
        <v>123</v>
      </c>
      <c r="C30" s="29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5" workbookViewId="0">
      <selection activeCell="D36" sqref="D3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Date-10-02-2026</vt:lpstr>
      <vt:lpstr>Plumbing Work</vt:lpstr>
      <vt:lpstr>Sheet3</vt:lpstr>
      <vt:lpstr>'Date-10-02-2026'!Print_Area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2026-02-10T14:35:32Z</dcterms:modified>
</cp:coreProperties>
</file>